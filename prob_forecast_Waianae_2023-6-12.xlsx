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m\Desktop\net load forecasting\net-load\"/>
    </mc:Choice>
  </mc:AlternateContent>
  <xr:revisionPtr revIDLastSave="0" documentId="8_{2A94D2CA-9345-45BB-98A6-B64D2BB148B1}" xr6:coauthVersionLast="47" xr6:coauthVersionMax="47" xr10:uidLastSave="{00000000-0000-0000-0000-000000000000}"/>
  <bookViews>
    <workbookView xWindow="18885" yWindow="3525" windowWidth="21600" windowHeight="11295"/>
  </bookViews>
  <sheets>
    <sheet name="prob_forecast_Waianae_2023-6-12" sheetId="1" r:id="rId1"/>
  </sheets>
  <calcPr calcId="0"/>
</workbook>
</file>

<file path=xl/calcChain.xml><?xml version="1.0" encoding="utf-8"?>
<calcChain xmlns="http://schemas.openxmlformats.org/spreadsheetml/2006/main">
  <c r="N22" i="1" l="1"/>
  <c r="N23" i="1"/>
  <c r="N24" i="1"/>
  <c r="N2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</calcChain>
</file>

<file path=xl/sharedStrings.xml><?xml version="1.0" encoding="utf-8"?>
<sst xmlns="http://schemas.openxmlformats.org/spreadsheetml/2006/main" count="38" uniqueCount="38">
  <si>
    <t>timestamp</t>
  </si>
  <si>
    <t>p0</t>
  </si>
  <si>
    <t>p10</t>
  </si>
  <si>
    <t>p20</t>
  </si>
  <si>
    <t>p30</t>
  </si>
  <si>
    <t>p40</t>
  </si>
  <si>
    <t>p50</t>
  </si>
  <si>
    <t>p60</t>
  </si>
  <si>
    <t>p70</t>
  </si>
  <si>
    <t>p80</t>
  </si>
  <si>
    <t>p90</t>
  </si>
  <si>
    <t>p100</t>
  </si>
  <si>
    <t>2023-06-11T11:00:00.000000Z</t>
  </si>
  <si>
    <t>2023-06-11T12:00:00.000000Z</t>
  </si>
  <si>
    <t>2023-06-11T13:00:00.000000Z</t>
  </si>
  <si>
    <t>2023-06-11T14:00:00.000000Z</t>
  </si>
  <si>
    <t>2023-06-11T15:00:00.000000Z</t>
  </si>
  <si>
    <t>2023-06-11T16:00:00.000000Z</t>
  </si>
  <si>
    <t>2023-06-11T17:00:00.000000Z</t>
  </si>
  <si>
    <t>2023-06-11T18:00:00.000000Z</t>
  </si>
  <si>
    <t>2023-06-11T19:00:00.000000Z</t>
  </si>
  <si>
    <t>2023-06-11T20:00:00.000000Z</t>
  </si>
  <si>
    <t>2023-06-11T21:00:00.000000Z</t>
  </si>
  <si>
    <t>2023-06-11T22:00:00.000000Z</t>
  </si>
  <si>
    <t>2023-06-11T23:00:00.000000Z</t>
  </si>
  <si>
    <t>2023-06-12T00:00:00.000000Z</t>
  </si>
  <si>
    <t>2023-06-12T01:00:00.000000Z</t>
  </si>
  <si>
    <t>2023-06-12T02:00:00.000000Z</t>
  </si>
  <si>
    <t>2023-06-12T03:00:00.000000Z</t>
  </si>
  <si>
    <t>2023-06-12T04:00:00.000000Z</t>
  </si>
  <si>
    <t>2023-06-12T05:00:00.000000Z</t>
  </si>
  <si>
    <t>2023-06-12T06:00:00.000000Z</t>
  </si>
  <si>
    <t>2023-06-12T07:00:00.000000Z</t>
  </si>
  <si>
    <t>2023-06-12T08:00:00.000000Z</t>
  </si>
  <si>
    <t>2023-06-12T09:00:00.000000Z</t>
  </si>
  <si>
    <t>2023-06-12T10:00:00.000000Z</t>
  </si>
  <si>
    <t>actual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</si>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</sst>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Waianae pred vs actuals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'prob_forecast_Waianae_2023-6-12'!$B$1</c:f>
              <c:strCache>
                <c:ptCount val="1"/>
                <c:pt idx="0">
                  <c:v>p0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'prob_forecast_Waianae_2023-6-12'!$B$2:$B$25</c:f>
              <c:numCache>
                <c:formatCode>General</c:formatCode>
                <c:ptCount val="24"/>
                <c:pt idx="0">
                  <c:v>0.52340399999999998</c:v>
                </c:pt>
                <c:pt idx="1">
                  <c:v>0.49171967059435401</c:v>
                </c:pt>
                <c:pt idx="2">
                  <c:v>0.47066795312717902</c:v>
                </c:pt>
                <c:pt idx="3">
                  <c:v>0.478261155190913</c:v>
                </c:pt>
                <c:pt idx="4">
                  <c:v>0.49680824999999901</c:v>
                </c:pt>
                <c:pt idx="5">
                  <c:v>0.51914899999999997</c:v>
                </c:pt>
                <c:pt idx="6">
                  <c:v>0.46893600000000002</c:v>
                </c:pt>
                <c:pt idx="7">
                  <c:v>0.26690358446653401</c:v>
                </c:pt>
                <c:pt idx="8">
                  <c:v>4.6932151092577E-2</c:v>
                </c:pt>
                <c:pt idx="9">
                  <c:v>-0.16082941599269701</c:v>
                </c:pt>
                <c:pt idx="10">
                  <c:v>-0.28682440157199302</c:v>
                </c:pt>
                <c:pt idx="11">
                  <c:v>-0.32019787520959803</c:v>
                </c:pt>
                <c:pt idx="12">
                  <c:v>-1.00166989212892E-2</c:v>
                </c:pt>
                <c:pt idx="13">
                  <c:v>-0.17159395514784301</c:v>
                </c:pt>
                <c:pt idx="14">
                  <c:v>-2.0527623547530401E-2</c:v>
                </c:pt>
                <c:pt idx="15">
                  <c:v>0.29365912726474702</c:v>
                </c:pt>
                <c:pt idx="16">
                  <c:v>0.41957387507339899</c:v>
                </c:pt>
                <c:pt idx="17">
                  <c:v>0.667233997440288</c:v>
                </c:pt>
                <c:pt idx="18">
                  <c:v>0.80709236636636605</c:v>
                </c:pt>
                <c:pt idx="19">
                  <c:v>0.817020999999999</c:v>
                </c:pt>
                <c:pt idx="20">
                  <c:v>0.77598732968941897</c:v>
                </c:pt>
                <c:pt idx="21">
                  <c:v>0.73320433294953002</c:v>
                </c:pt>
                <c:pt idx="22">
                  <c:v>0.67216590646363905</c:v>
                </c:pt>
                <c:pt idx="23">
                  <c:v>0.59455804832900405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0-40D3-9511-ABCF48F59359}"/>
            </c:ext>
          </c:extLst>
        </c:ser>
        <c:ser>
          <c:idx val="1"/>
          <c:order val="1"/>
          <c:tx>
            <c:strRef>
              <c:f>'prob_forecast_Waianae_2023-6-12'!$C$1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'prob_forecast_Waianae_2023-6-12'!$C$2:$C$25</c:f>
              <c:numCache>
                <c:formatCode>General</c:formatCode>
                <c:ptCount val="24"/>
                <c:pt idx="0">
                  <c:v>0.54892486320605005</c:v>
                </c:pt>
                <c:pt idx="1">
                  <c:v>0.51492601697963902</c:v>
                </c:pt>
                <c:pt idx="2">
                  <c:v>0.49312076094164098</c:v>
                </c:pt>
                <c:pt idx="3">
                  <c:v>0.50780224486273495</c:v>
                </c:pt>
                <c:pt idx="4">
                  <c:v>0.51914899999999997</c:v>
                </c:pt>
                <c:pt idx="5">
                  <c:v>0.537808175</c:v>
                </c:pt>
                <c:pt idx="6">
                  <c:v>0.47593501814970501</c:v>
                </c:pt>
                <c:pt idx="7">
                  <c:v>0.29671622726549202</c:v>
                </c:pt>
                <c:pt idx="8">
                  <c:v>7.5644069855520496E-2</c:v>
                </c:pt>
                <c:pt idx="9">
                  <c:v>-0.131680083771087</c:v>
                </c:pt>
                <c:pt idx="10">
                  <c:v>-0.28607326298678698</c:v>
                </c:pt>
                <c:pt idx="11">
                  <c:v>-0.296452944379129</c:v>
                </c:pt>
                <c:pt idx="12">
                  <c:v>2.2140320462624499E-3</c:v>
                </c:pt>
                <c:pt idx="13">
                  <c:v>-0.16973149159227399</c:v>
                </c:pt>
                <c:pt idx="14">
                  <c:v>4.8989365334831801E-2</c:v>
                </c:pt>
                <c:pt idx="15">
                  <c:v>0.39531838262823099</c:v>
                </c:pt>
                <c:pt idx="16">
                  <c:v>0.44472303750733999</c:v>
                </c:pt>
                <c:pt idx="17">
                  <c:v>0.671829399744028</c:v>
                </c:pt>
                <c:pt idx="18">
                  <c:v>0.811007266666666</c:v>
                </c:pt>
                <c:pt idx="19">
                  <c:v>0.82544689999999998</c:v>
                </c:pt>
                <c:pt idx="20">
                  <c:v>0.78113108296894196</c:v>
                </c:pt>
                <c:pt idx="21">
                  <c:v>0.73827686664747605</c:v>
                </c:pt>
                <c:pt idx="22">
                  <c:v>0.69930149267250497</c:v>
                </c:pt>
                <c:pt idx="23">
                  <c:v>0.63712450966580003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0-40D3-9511-ABCF48F59359}"/>
            </c:ext>
          </c:extLst>
        </c:ser>
        <c:ser>
          <c:idx val="2"/>
          <c:order val="2"/>
          <c:tx>
            <c:strRef>
              <c:f>'prob_forecast_Waianae_2023-6-12'!$D$1</c:f>
              <c:strCache>
                <c:ptCount val="1"/>
                <c:pt idx="0">
                  <c:v>p20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'prob_forecast_Waianae_2023-6-12'!$D$2:$D$25</c:f>
              <c:numCache>
                <c:formatCode>General</c:formatCode>
                <c:ptCount val="24"/>
                <c:pt idx="0">
                  <c:v>0.56323969353935299</c:v>
                </c:pt>
                <c:pt idx="1">
                  <c:v>0.52766000000000002</c:v>
                </c:pt>
                <c:pt idx="2">
                  <c:v>0.50808500000000001</c:v>
                </c:pt>
                <c:pt idx="3">
                  <c:v>0.51272228622909599</c:v>
                </c:pt>
                <c:pt idx="4">
                  <c:v>0.52340399999999998</c:v>
                </c:pt>
                <c:pt idx="5">
                  <c:v>0.54026857777777704</c:v>
                </c:pt>
                <c:pt idx="6">
                  <c:v>0.47685129999999998</c:v>
                </c:pt>
                <c:pt idx="7">
                  <c:v>0.32670833072288702</c:v>
                </c:pt>
                <c:pt idx="8">
                  <c:v>9.4194275314072096E-2</c:v>
                </c:pt>
                <c:pt idx="9">
                  <c:v>-8.7829618798659095E-2</c:v>
                </c:pt>
                <c:pt idx="10">
                  <c:v>-0.28172824251518902</c:v>
                </c:pt>
                <c:pt idx="11">
                  <c:v>-0.22074808250223901</c:v>
                </c:pt>
                <c:pt idx="12">
                  <c:v>9.0331736702105696E-3</c:v>
                </c:pt>
                <c:pt idx="13">
                  <c:v>-0.13210596563646701</c:v>
                </c:pt>
                <c:pt idx="14">
                  <c:v>0.143918427541807</c:v>
                </c:pt>
                <c:pt idx="15">
                  <c:v>0.42893599999999998</c:v>
                </c:pt>
                <c:pt idx="16">
                  <c:v>0.487228479115563</c:v>
                </c:pt>
                <c:pt idx="17">
                  <c:v>0.68355554876007896</c:v>
                </c:pt>
                <c:pt idx="18">
                  <c:v>0.81310640000000001</c:v>
                </c:pt>
                <c:pt idx="19">
                  <c:v>0.83329093770266804</c:v>
                </c:pt>
                <c:pt idx="20">
                  <c:v>0.78881241394758295</c:v>
                </c:pt>
                <c:pt idx="21">
                  <c:v>0.74325348159179705</c:v>
                </c:pt>
                <c:pt idx="22">
                  <c:v>0.70417039999999997</c:v>
                </c:pt>
                <c:pt idx="23">
                  <c:v>0.64503239999999995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60-40D3-9511-ABCF48F59359}"/>
            </c:ext>
          </c:extLst>
        </c:ser>
        <c:ser>
          <c:idx val="3"/>
          <c:order val="3"/>
          <c:tx>
            <c:strRef>
              <c:f>'prob_forecast_Waianae_2023-6-12'!$E$1</c:f>
              <c:strCache>
                <c:ptCount val="1"/>
                <c:pt idx="0">
                  <c:v>p30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'prob_forecast_Waianae_2023-6-12'!$E$2:$E$25</c:f>
              <c:numCache>
                <c:formatCode>General</c:formatCode>
                <c:ptCount val="24"/>
                <c:pt idx="0">
                  <c:v>0.57702100000000001</c:v>
                </c:pt>
                <c:pt idx="1">
                  <c:v>0.53877083231952605</c:v>
                </c:pt>
                <c:pt idx="2">
                  <c:v>0.52068978593815296</c:v>
                </c:pt>
                <c:pt idx="3">
                  <c:v>0.51517145982372403</c:v>
                </c:pt>
                <c:pt idx="4">
                  <c:v>0.524228006332635</c:v>
                </c:pt>
                <c:pt idx="5">
                  <c:v>0.54080473333333301</c:v>
                </c:pt>
                <c:pt idx="6">
                  <c:v>0.47744700000000001</c:v>
                </c:pt>
                <c:pt idx="7">
                  <c:v>0.35130546311583399</c:v>
                </c:pt>
                <c:pt idx="8">
                  <c:v>0.110162536629705</c:v>
                </c:pt>
                <c:pt idx="9">
                  <c:v>-4.2808428348326197E-2</c:v>
                </c:pt>
                <c:pt idx="10">
                  <c:v>-0.27915228031439798</c:v>
                </c:pt>
                <c:pt idx="11">
                  <c:v>-0.137506539179509</c:v>
                </c:pt>
                <c:pt idx="12">
                  <c:v>1.6579131920168799E-2</c:v>
                </c:pt>
                <c:pt idx="13">
                  <c:v>-7.8651584553385404E-2</c:v>
                </c:pt>
                <c:pt idx="14">
                  <c:v>0.235649678442726</c:v>
                </c:pt>
                <c:pt idx="15">
                  <c:v>0.45531899999999997</c:v>
                </c:pt>
                <c:pt idx="16">
                  <c:v>0.52995125014229605</c:v>
                </c:pt>
                <c:pt idx="17">
                  <c:v>0.694258166115169</c:v>
                </c:pt>
                <c:pt idx="18">
                  <c:v>0.81417014999999904</c:v>
                </c:pt>
                <c:pt idx="19">
                  <c:v>0.84081890048505104</c:v>
                </c:pt>
                <c:pt idx="20">
                  <c:v>0.79649294213861499</c:v>
                </c:pt>
                <c:pt idx="21">
                  <c:v>0.74834700804973298</c:v>
                </c:pt>
                <c:pt idx="22">
                  <c:v>0.70527669999999998</c:v>
                </c:pt>
                <c:pt idx="23">
                  <c:v>0.64997897500000001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60-40D3-9511-ABCF48F59359}"/>
            </c:ext>
          </c:extLst>
        </c:ser>
        <c:ser>
          <c:idx val="4"/>
          <c:order val="4"/>
          <c:tx>
            <c:strRef>
              <c:f>'prob_forecast_Waianae_2023-6-12'!$F$1</c:f>
              <c:strCache>
                <c:ptCount val="1"/>
                <c:pt idx="0">
                  <c:v>p40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'prob_forecast_Waianae_2023-6-12'!$F$2:$F$25</c:f>
              <c:numCache>
                <c:formatCode>General</c:formatCode>
                <c:ptCount val="24"/>
                <c:pt idx="0">
                  <c:v>0.58680849999999996</c:v>
                </c:pt>
                <c:pt idx="1">
                  <c:v>0.55042524999999998</c:v>
                </c:pt>
                <c:pt idx="2">
                  <c:v>0.52740469999999995</c:v>
                </c:pt>
                <c:pt idx="3">
                  <c:v>0.51659600000000006</c:v>
                </c:pt>
                <c:pt idx="4">
                  <c:v>0.524898552273935</c:v>
                </c:pt>
                <c:pt idx="5">
                  <c:v>0.54965934999999999</c:v>
                </c:pt>
                <c:pt idx="6">
                  <c:v>0.48170200000000002</c:v>
                </c:pt>
                <c:pt idx="7">
                  <c:v>0.36581027777777703</c:v>
                </c:pt>
                <c:pt idx="8">
                  <c:v>0.116517786151605</c:v>
                </c:pt>
                <c:pt idx="9">
                  <c:v>3.0251876110567702E-3</c:v>
                </c:pt>
                <c:pt idx="10">
                  <c:v>-0.208377272926829</c:v>
                </c:pt>
                <c:pt idx="11">
                  <c:v>-5.9413260002493598E-2</c:v>
                </c:pt>
                <c:pt idx="12">
                  <c:v>3.92089905521344E-2</c:v>
                </c:pt>
                <c:pt idx="13">
                  <c:v>-2.4288668728116299E-4</c:v>
                </c:pt>
                <c:pt idx="14">
                  <c:v>0.362260900859876</c:v>
                </c:pt>
                <c:pt idx="15">
                  <c:v>0.48504326757187499</c:v>
                </c:pt>
                <c:pt idx="16">
                  <c:v>0.56590913835247902</c:v>
                </c:pt>
                <c:pt idx="17">
                  <c:v>0.70476676033013896</c:v>
                </c:pt>
                <c:pt idx="18">
                  <c:v>0.81983766339797304</c:v>
                </c:pt>
                <c:pt idx="19">
                  <c:v>0.852523184549702</c:v>
                </c:pt>
                <c:pt idx="20">
                  <c:v>0.80258849881654204</c:v>
                </c:pt>
                <c:pt idx="21">
                  <c:v>0.75597004278564495</c:v>
                </c:pt>
                <c:pt idx="22">
                  <c:v>0.70629790000000003</c:v>
                </c:pt>
                <c:pt idx="23">
                  <c:v>0.65362231874999899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60-40D3-9511-ABCF48F59359}"/>
            </c:ext>
          </c:extLst>
        </c:ser>
        <c:ser>
          <c:idx val="5"/>
          <c:order val="5"/>
          <c:tx>
            <c:strRef>
              <c:f>'prob_forecast_Waianae_2023-6-12'!$G$1</c:f>
              <c:strCache>
                <c:ptCount val="1"/>
                <c:pt idx="0">
                  <c:v>p50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'prob_forecast_Waianae_2023-6-12'!$G$2:$G$25</c:f>
              <c:numCache>
                <c:formatCode>General</c:formatCode>
                <c:ptCount val="24"/>
                <c:pt idx="0">
                  <c:v>0.59255374999999999</c:v>
                </c:pt>
                <c:pt idx="1">
                  <c:v>0.56159562500000004</c:v>
                </c:pt>
                <c:pt idx="2">
                  <c:v>0.53021299999999905</c:v>
                </c:pt>
                <c:pt idx="3">
                  <c:v>0.51744699999999999</c:v>
                </c:pt>
                <c:pt idx="4">
                  <c:v>0.525549110180205</c:v>
                </c:pt>
                <c:pt idx="5">
                  <c:v>0.56265937499999996</c:v>
                </c:pt>
                <c:pt idx="6">
                  <c:v>0.488830125</c:v>
                </c:pt>
                <c:pt idx="7">
                  <c:v>0.376914625</c:v>
                </c:pt>
                <c:pt idx="8">
                  <c:v>0.123433111417555</c:v>
                </c:pt>
                <c:pt idx="9">
                  <c:v>5.1663241139976397E-2</c:v>
                </c:pt>
                <c:pt idx="10">
                  <c:v>-0.115525977372425</c:v>
                </c:pt>
                <c:pt idx="11">
                  <c:v>1.6836558015245199E-2</c:v>
                </c:pt>
                <c:pt idx="12">
                  <c:v>7.8195810735633503E-2</c:v>
                </c:pt>
                <c:pt idx="13">
                  <c:v>9.3643294418006007E-2</c:v>
                </c:pt>
                <c:pt idx="14">
                  <c:v>0.41614083524531997</c:v>
                </c:pt>
                <c:pt idx="15">
                  <c:v>0.51659600000000006</c:v>
                </c:pt>
                <c:pt idx="16">
                  <c:v>0.61096260849851702</c:v>
                </c:pt>
                <c:pt idx="17">
                  <c:v>0.71432667710310505</c:v>
                </c:pt>
                <c:pt idx="18">
                  <c:v>0.82966542586667602</c:v>
                </c:pt>
                <c:pt idx="19">
                  <c:v>0.86598270238670505</c:v>
                </c:pt>
                <c:pt idx="20">
                  <c:v>0.80933794621723898</c:v>
                </c:pt>
                <c:pt idx="21">
                  <c:v>0.76305251427507903</c:v>
                </c:pt>
                <c:pt idx="22">
                  <c:v>0.70744675000000001</c:v>
                </c:pt>
                <c:pt idx="23">
                  <c:v>0.65787826909722202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60-40D3-9511-ABCF48F59359}"/>
            </c:ext>
          </c:extLst>
        </c:ser>
        <c:ser>
          <c:idx val="6"/>
          <c:order val="6"/>
          <c:tx>
            <c:strRef>
              <c:f>'prob_forecast_Waianae_2023-6-12'!$H$1</c:f>
              <c:strCache>
                <c:ptCount val="1"/>
                <c:pt idx="0">
                  <c:v>p60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'prob_forecast_Waianae_2023-6-12'!$H$2:$H$25</c:f>
              <c:numCache>
                <c:formatCode>General</c:formatCode>
                <c:ptCount val="24"/>
                <c:pt idx="0">
                  <c:v>0.59659600000000002</c:v>
                </c:pt>
                <c:pt idx="1">
                  <c:v>0.56970239999999905</c:v>
                </c:pt>
                <c:pt idx="2">
                  <c:v>0.53531899999999999</c:v>
                </c:pt>
                <c:pt idx="3">
                  <c:v>0.52348909999999904</c:v>
                </c:pt>
                <c:pt idx="4">
                  <c:v>0.53285109999999902</c:v>
                </c:pt>
                <c:pt idx="5">
                  <c:v>0.57411805725385501</c:v>
                </c:pt>
                <c:pt idx="6">
                  <c:v>0.50144719999999998</c:v>
                </c:pt>
                <c:pt idx="7">
                  <c:v>0.392183309335639</c:v>
                </c:pt>
                <c:pt idx="8">
                  <c:v>0.13060848921284399</c:v>
                </c:pt>
                <c:pt idx="9">
                  <c:v>9.3310602340893001E-2</c:v>
                </c:pt>
                <c:pt idx="10">
                  <c:v>-8.1657468442396901E-3</c:v>
                </c:pt>
                <c:pt idx="11">
                  <c:v>0.103659773334377</c:v>
                </c:pt>
                <c:pt idx="12">
                  <c:v>0.11506419999999901</c:v>
                </c:pt>
                <c:pt idx="13">
                  <c:v>0.147574399999999</c:v>
                </c:pt>
                <c:pt idx="14">
                  <c:v>0.45250873249712598</c:v>
                </c:pt>
                <c:pt idx="15">
                  <c:v>0.53617000000000004</c:v>
                </c:pt>
                <c:pt idx="16">
                  <c:v>0.64442775555555498</c:v>
                </c:pt>
                <c:pt idx="17">
                  <c:v>0.72760994368281295</c:v>
                </c:pt>
                <c:pt idx="18">
                  <c:v>0.83882361977418396</c:v>
                </c:pt>
                <c:pt idx="19">
                  <c:v>0.87584385649835095</c:v>
                </c:pt>
                <c:pt idx="20">
                  <c:v>0.82127700000000003</c:v>
                </c:pt>
                <c:pt idx="21">
                  <c:v>0.77344679999999999</c:v>
                </c:pt>
                <c:pt idx="22">
                  <c:v>0.70812472846658303</c:v>
                </c:pt>
                <c:pt idx="23">
                  <c:v>0.661436987997017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60-40D3-9511-ABCF48F59359}"/>
            </c:ext>
          </c:extLst>
        </c:ser>
        <c:ser>
          <c:idx val="7"/>
          <c:order val="7"/>
          <c:tx>
            <c:strRef>
              <c:f>'prob_forecast_Waianae_2023-6-12'!$I$1</c:f>
              <c:strCache>
                <c:ptCount val="1"/>
                <c:pt idx="0">
                  <c:v>p70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'prob_forecast_Waianae_2023-6-12'!$I$2:$I$25</c:f>
              <c:numCache>
                <c:formatCode>General</c:formatCode>
                <c:ptCount val="24"/>
                <c:pt idx="0">
                  <c:v>0.59978724999999999</c:v>
                </c:pt>
                <c:pt idx="1">
                  <c:v>0.57440417499999996</c:v>
                </c:pt>
                <c:pt idx="2">
                  <c:v>0.54374489999999998</c:v>
                </c:pt>
                <c:pt idx="3">
                  <c:v>0.53361700000000001</c:v>
                </c:pt>
                <c:pt idx="4">
                  <c:v>0.54832879999999895</c:v>
                </c:pt>
                <c:pt idx="5">
                  <c:v>0.58386281107503002</c:v>
                </c:pt>
                <c:pt idx="6">
                  <c:v>0.51914899999999997</c:v>
                </c:pt>
                <c:pt idx="7">
                  <c:v>0.40725388034082699</c:v>
                </c:pt>
                <c:pt idx="8">
                  <c:v>0.14054135102041301</c:v>
                </c:pt>
                <c:pt idx="9">
                  <c:v>0.110878981275152</c:v>
                </c:pt>
                <c:pt idx="10">
                  <c:v>0.10722818198893599</c:v>
                </c:pt>
                <c:pt idx="11">
                  <c:v>0.184454058889193</c:v>
                </c:pt>
                <c:pt idx="12">
                  <c:v>0.15342527777777701</c:v>
                </c:pt>
                <c:pt idx="13">
                  <c:v>0.15937772222222199</c:v>
                </c:pt>
                <c:pt idx="14">
                  <c:v>0.491064</c:v>
                </c:pt>
                <c:pt idx="15">
                  <c:v>0.54148747883385395</c:v>
                </c:pt>
                <c:pt idx="16">
                  <c:v>0.647555521621621</c:v>
                </c:pt>
                <c:pt idx="17">
                  <c:v>0.74614866666666602</c:v>
                </c:pt>
                <c:pt idx="18">
                  <c:v>0.84894090614852302</c:v>
                </c:pt>
                <c:pt idx="19">
                  <c:v>0.88007611591185098</c:v>
                </c:pt>
                <c:pt idx="20">
                  <c:v>0.83829799999999899</c:v>
                </c:pt>
                <c:pt idx="21">
                  <c:v>0.77965936756756704</c:v>
                </c:pt>
                <c:pt idx="22">
                  <c:v>0.70821411751639496</c:v>
                </c:pt>
                <c:pt idx="23">
                  <c:v>0.66792682036530704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60-40D3-9511-ABCF48F59359}"/>
            </c:ext>
          </c:extLst>
        </c:ser>
        <c:ser>
          <c:idx val="8"/>
          <c:order val="8"/>
          <c:tx>
            <c:strRef>
              <c:f>'prob_forecast_Waianae_2023-6-12'!$J$1</c:f>
              <c:strCache>
                <c:ptCount val="1"/>
                <c:pt idx="0">
                  <c:v>p80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'prob_forecast_Waianae_2023-6-12'!$J$2:$J$25</c:f>
              <c:numCache>
                <c:formatCode>General</c:formatCode>
                <c:ptCount val="24"/>
                <c:pt idx="0">
                  <c:v>0.60399816666666695</c:v>
                </c:pt>
                <c:pt idx="1">
                  <c:v>0.57821239999999996</c:v>
                </c:pt>
                <c:pt idx="2">
                  <c:v>0.55148900000000001</c:v>
                </c:pt>
                <c:pt idx="3">
                  <c:v>0.54455334999999905</c:v>
                </c:pt>
                <c:pt idx="4">
                  <c:v>0.56370184999999995</c:v>
                </c:pt>
                <c:pt idx="5">
                  <c:v>0.59144605764235003</c:v>
                </c:pt>
                <c:pt idx="6">
                  <c:v>0.53413226280998005</c:v>
                </c:pt>
                <c:pt idx="7">
                  <c:v>0.41773505509356301</c:v>
                </c:pt>
                <c:pt idx="8">
                  <c:v>0.15815411773003399</c:v>
                </c:pt>
                <c:pt idx="9">
                  <c:v>0.12709277109940301</c:v>
                </c:pt>
                <c:pt idx="10">
                  <c:v>0.18992810356846401</c:v>
                </c:pt>
                <c:pt idx="11">
                  <c:v>0.26788447044179498</c:v>
                </c:pt>
                <c:pt idx="12">
                  <c:v>0.18348461583514</c:v>
                </c:pt>
                <c:pt idx="13">
                  <c:v>0.18196461740331399</c:v>
                </c:pt>
                <c:pt idx="14">
                  <c:v>0.52425500000000003</c:v>
                </c:pt>
                <c:pt idx="15">
                  <c:v>0.54890149999999904</c:v>
                </c:pt>
                <c:pt idx="16">
                  <c:v>0.65880868411092697</c:v>
                </c:pt>
                <c:pt idx="17">
                  <c:v>0.78083790755154703</c:v>
                </c:pt>
                <c:pt idx="18">
                  <c:v>0.90322392820396502</c:v>
                </c:pt>
                <c:pt idx="19">
                  <c:v>0.91223853265662702</c:v>
                </c:pt>
                <c:pt idx="20">
                  <c:v>0.85223086666666603</c:v>
                </c:pt>
                <c:pt idx="21">
                  <c:v>0.78757438018248804</c:v>
                </c:pt>
                <c:pt idx="22">
                  <c:v>0.71161561082609603</c:v>
                </c:pt>
                <c:pt idx="23">
                  <c:v>0.67171962098658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60-40D3-9511-ABCF48F59359}"/>
            </c:ext>
          </c:extLst>
        </c:ser>
        <c:ser>
          <c:idx val="9"/>
          <c:order val="9"/>
          <c:tx>
            <c:strRef>
              <c:f>'prob_forecast_Waianae_2023-6-12'!$K$1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'prob_forecast_Waianae_2023-6-12'!$K$2:$K$25</c:f>
              <c:numCache>
                <c:formatCode>General</c:formatCode>
                <c:ptCount val="24"/>
                <c:pt idx="0">
                  <c:v>0.61149844444444401</c:v>
                </c:pt>
                <c:pt idx="1">
                  <c:v>0.57991539999999997</c:v>
                </c:pt>
                <c:pt idx="2">
                  <c:v>0.55574500000000004</c:v>
                </c:pt>
                <c:pt idx="3">
                  <c:v>0.55525567499999995</c:v>
                </c:pt>
                <c:pt idx="4">
                  <c:v>0.57206392499999903</c:v>
                </c:pt>
                <c:pt idx="5">
                  <c:v>0.59146752882117504</c:v>
                </c:pt>
                <c:pt idx="6">
                  <c:v>0.53819870450466301</c:v>
                </c:pt>
                <c:pt idx="7">
                  <c:v>0.426533546358425</c:v>
                </c:pt>
                <c:pt idx="8">
                  <c:v>0.19694052856987801</c:v>
                </c:pt>
                <c:pt idx="9">
                  <c:v>0.140666483680529</c:v>
                </c:pt>
                <c:pt idx="10">
                  <c:v>0.21105666778238799</c:v>
                </c:pt>
                <c:pt idx="11">
                  <c:v>0.282411351197216</c:v>
                </c:pt>
                <c:pt idx="12">
                  <c:v>0.20205896773318799</c:v>
                </c:pt>
                <c:pt idx="13">
                  <c:v>0.27394779143646297</c:v>
                </c:pt>
                <c:pt idx="14">
                  <c:v>0.53763797499999999</c:v>
                </c:pt>
                <c:pt idx="15">
                  <c:v>0.56287212499999895</c:v>
                </c:pt>
                <c:pt idx="16">
                  <c:v>0.69276735331704398</c:v>
                </c:pt>
                <c:pt idx="17">
                  <c:v>1.2127699999999999</c:v>
                </c:pt>
                <c:pt idx="18">
                  <c:v>1.2127699999999999</c:v>
                </c:pt>
                <c:pt idx="19">
                  <c:v>1.2127699999999999</c:v>
                </c:pt>
                <c:pt idx="20">
                  <c:v>0.85376189999999996</c:v>
                </c:pt>
                <c:pt idx="21">
                  <c:v>0.79689379550184103</c:v>
                </c:pt>
                <c:pt idx="22">
                  <c:v>0.72340400000000005</c:v>
                </c:pt>
                <c:pt idx="23">
                  <c:v>0.67202981049329003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60-40D3-9511-ABCF48F59359}"/>
            </c:ext>
          </c:extLst>
        </c:ser>
        <c:ser>
          <c:idx val="10"/>
          <c:order val="10"/>
          <c:tx>
            <c:strRef>
              <c:f>'prob_forecast_Waianae_2023-6-12'!$L$1</c:f>
              <c:strCache>
                <c:ptCount val="1"/>
                <c:pt idx="0">
                  <c:v>p100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'prob_forecast_Waianae_2023-6-12'!$L$2:$L$25</c:f>
              <c:numCache>
                <c:formatCode>General</c:formatCode>
                <c:ptCount val="24"/>
                <c:pt idx="0">
                  <c:v>0.61957399999999996</c:v>
                </c:pt>
                <c:pt idx="1">
                  <c:v>0.58212799999999998</c:v>
                </c:pt>
                <c:pt idx="2">
                  <c:v>0.56170200000000003</c:v>
                </c:pt>
                <c:pt idx="3">
                  <c:v>0.56680900000000001</c:v>
                </c:pt>
                <c:pt idx="4">
                  <c:v>0.58297900000000002</c:v>
                </c:pt>
                <c:pt idx="5">
                  <c:v>0.59148900000000004</c:v>
                </c:pt>
                <c:pt idx="6">
                  <c:v>0.54132362809980095</c:v>
                </c:pt>
                <c:pt idx="7">
                  <c:v>0.43319200000000002</c:v>
                </c:pt>
                <c:pt idx="8">
                  <c:v>0.25446800000000003</c:v>
                </c:pt>
                <c:pt idx="9">
                  <c:v>0.15319199999999999</c:v>
                </c:pt>
                <c:pt idx="10">
                  <c:v>0.23063799999999901</c:v>
                </c:pt>
                <c:pt idx="11">
                  <c:v>0.29787200000000003</c:v>
                </c:pt>
                <c:pt idx="12">
                  <c:v>0.226383</c:v>
                </c:pt>
                <c:pt idx="13">
                  <c:v>0.363404</c:v>
                </c:pt>
                <c:pt idx="14">
                  <c:v>0.55148900000000001</c:v>
                </c:pt>
                <c:pt idx="15">
                  <c:v>0.57872299999999999</c:v>
                </c:pt>
                <c:pt idx="16">
                  <c:v>0.72866818784917098</c:v>
                </c:pt>
                <c:pt idx="17">
                  <c:v>1.2127699999999999</c:v>
                </c:pt>
                <c:pt idx="18">
                  <c:v>1.2127699999999999</c:v>
                </c:pt>
                <c:pt idx="19">
                  <c:v>1.2127699999999999</c:v>
                </c:pt>
                <c:pt idx="20">
                  <c:v>0.85616999999999999</c:v>
                </c:pt>
                <c:pt idx="21">
                  <c:v>0.80595700000000003</c:v>
                </c:pt>
                <c:pt idx="22">
                  <c:v>0.73616999999999999</c:v>
                </c:pt>
                <c:pt idx="23">
                  <c:v>0.67234000000000005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60-40D3-9511-ABCF48F59359}"/>
            </c:ext>
          </c:extLst>
        </c:ser>
        <c:ser>
          <c:idx val="11"/>
          <c:order val="11"/>
          <c:tx>
            <c:strRef>
              <c:f>'prob_forecast_Waianae_2023-6-12'!$M$1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'prob_forecast_Waianae_2023-6-12'!$M$2:$M$25</c:f>
              <c:numCache>
                <c:formatCode>General</c:formatCode>
                <c:ptCount val="24"/>
                <c:pt idx="0">
                  <c:v>0.52851099999999995</c:v>
                </c:pt>
                <c:pt idx="1">
                  <c:v>0.49617</c:v>
                </c:pt>
                <c:pt idx="2">
                  <c:v>0.465532</c:v>
                </c:pt>
                <c:pt idx="3">
                  <c:v>0.45531899999999997</c:v>
                </c:pt>
                <c:pt idx="4">
                  <c:v>0.45617000000000002</c:v>
                </c:pt>
                <c:pt idx="5">
                  <c:v>0.47489399999999998</c:v>
                </c:pt>
                <c:pt idx="6">
                  <c:v>0.364255</c:v>
                </c:pt>
                <c:pt idx="7">
                  <c:v>0.157447</c:v>
                </c:pt>
                <c:pt idx="8">
                  <c:v>-0.12</c:v>
                </c:pt>
                <c:pt idx="9">
                  <c:v>-0.33276600000000001</c:v>
                </c:pt>
                <c:pt idx="10">
                  <c:v>-0.34723399999999999</c:v>
                </c:pt>
                <c:pt idx="11">
                  <c:v>-0.251915</c:v>
                </c:pt>
                <c:pt idx="12">
                  <c:v>-0.43319099999999999</c:v>
                </c:pt>
                <c:pt idx="13">
                  <c:v>-0.38127699999999998</c:v>
                </c:pt>
                <c:pt idx="14">
                  <c:v>-0.33191500000000002</c:v>
                </c:pt>
                <c:pt idx="15">
                  <c:v>-4.2553100000000003E-2</c:v>
                </c:pt>
                <c:pt idx="16">
                  <c:v>0.26553199999999999</c:v>
                </c:pt>
                <c:pt idx="17">
                  <c:v>0.63319099999999995</c:v>
                </c:pt>
                <c:pt idx="18">
                  <c:v>0.76595800000000003</c:v>
                </c:pt>
                <c:pt idx="19">
                  <c:v>0.80255299999999996</c:v>
                </c:pt>
                <c:pt idx="20">
                  <c:v>0.78638300000000005</c:v>
                </c:pt>
                <c:pt idx="21">
                  <c:v>0.74638300000000002</c:v>
                </c:pt>
                <c:pt idx="22">
                  <c:v>0.68766000000000005</c:v>
                </c:pt>
                <c:pt idx="23">
                  <c:v>0.61787199999999998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660-40D3-9511-ABCF48F59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302784"/>
        <c:axId val="265304224"/>
      </c:scatterChart>
      <c:valAx>
        <c:axId val="26530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04224"/>
        <c:crosses val="autoZero"/>
        <c:crossBetween val="midCat"/>
      </c:valAx>
      <c:valAx>
        <c:axId val="2653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02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MAPE = 112%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'prob_forecast_Waianae_2023-6-12'!$N$1</c:f>
              <c:strCache>
                <c:ptCount val="1"/>
                <c:pt idx="0">
                  <c:v>MAPE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'prob_forecast_Waianae_2023-6-12'!$A$2:$A$25</c:f>
              <c:strCache>
                <c:ptCount val="24"/>
                <c:pt idx="0">
                  <c:v>2023-06-11T11:00:00.000000Z</c:v>
                </c:pt>
                <c:pt idx="1">
                  <c:v>2023-06-11T12:00:00.000000Z</c:v>
                </c:pt>
                <c:pt idx="2">
                  <c:v>2023-06-11T13:00:00.000000Z</c:v>
                </c:pt>
                <c:pt idx="3">
                  <c:v>2023-06-11T14:00:00.000000Z</c:v>
                </c:pt>
                <c:pt idx="4">
                  <c:v>2023-06-11T15:00:00.000000Z</c:v>
                </c:pt>
                <c:pt idx="5">
                  <c:v>2023-06-11T16:00:00.000000Z</c:v>
                </c:pt>
                <c:pt idx="6">
                  <c:v>2023-06-11T17:00:00.000000Z</c:v>
                </c:pt>
                <c:pt idx="7">
                  <c:v>2023-06-11T18:00:00.000000Z</c:v>
                </c:pt>
                <c:pt idx="8">
                  <c:v>2023-06-11T19:00:00.000000Z</c:v>
                </c:pt>
                <c:pt idx="9">
                  <c:v>2023-06-11T20:00:00.000000Z</c:v>
                </c:pt>
                <c:pt idx="10">
                  <c:v>2023-06-11T21:00:00.000000Z</c:v>
                </c:pt>
                <c:pt idx="11">
                  <c:v>2023-06-11T22:00:00.000000Z</c:v>
                </c:pt>
                <c:pt idx="12">
                  <c:v>2023-06-11T23:00:00.000000Z</c:v>
                </c:pt>
                <c:pt idx="13">
                  <c:v>2023-06-12T00:00:00.000000Z</c:v>
                </c:pt>
                <c:pt idx="14">
                  <c:v>2023-06-12T01:00:00.000000Z</c:v>
                </c:pt>
                <c:pt idx="15">
                  <c:v>2023-06-12T02:00:00.000000Z</c:v>
                </c:pt>
                <c:pt idx="16">
                  <c:v>2023-06-12T03:00:00.000000Z</c:v>
                </c:pt>
                <c:pt idx="17">
                  <c:v>2023-06-12T04:00:00.000000Z</c:v>
                </c:pt>
                <c:pt idx="18">
                  <c:v>2023-06-12T05:00:00.000000Z</c:v>
                </c:pt>
                <c:pt idx="19">
                  <c:v>2023-06-12T06:00:00.000000Z</c:v>
                </c:pt>
                <c:pt idx="20">
                  <c:v>2023-06-12T07:00:00.000000Z</c:v>
                </c:pt>
                <c:pt idx="21">
                  <c:v>2023-06-12T08:00:00.000000Z</c:v>
                </c:pt>
                <c:pt idx="22">
                  <c:v>2023-06-12T09:00:00.000000Z</c:v>
                </c:pt>
                <c:pt idx="23">
                  <c:v>2023-06-12T10:00:00.000000Z</c:v>
                </c:pt>
              </c:strCache>
            </c:strRef>
          </c:xVal>
          <c:yVal>
            <c:numRef>
              <c:f>'prob_forecast_Waianae_2023-6-12'!$N$2:$N$25</c:f>
              <c:numCache>
                <c:formatCode>General</c:formatCode>
                <c:ptCount val="24"/>
                <c:pt idx="0">
                  <c:v>12.117581280238262</c:v>
                </c:pt>
                <c:pt idx="1">
                  <c:v>13.186130761634127</c:v>
                </c:pt>
                <c:pt idx="2">
                  <c:v>13.893996545887081</c:v>
                </c:pt>
                <c:pt idx="3">
                  <c:v>13.644939042737075</c:v>
                </c:pt>
                <c:pt idx="4">
                  <c:v>15.209047105290788</c:v>
                </c:pt>
                <c:pt idx="5">
                  <c:v>18.481045243780713</c:v>
                </c:pt>
                <c:pt idx="6">
                  <c:v>34.199976664699186</c:v>
                </c:pt>
                <c:pt idx="7">
                  <c:v>139.39143013204443</c:v>
                </c:pt>
                <c:pt idx="8">
                  <c:v>202.86092618129584</c:v>
                </c:pt>
                <c:pt idx="9">
                  <c:v>115.52539656694987</c:v>
                </c:pt>
                <c:pt idx="10">
                  <c:v>66.729647047113772</c:v>
                </c:pt>
                <c:pt idx="11">
                  <c:v>106.68342814649591</c:v>
                </c:pt>
                <c:pt idx="12">
                  <c:v>118.0511161902333</c:v>
                </c:pt>
                <c:pt idx="13">
                  <c:v>124.56043622301006</c:v>
                </c:pt>
                <c:pt idx="14">
                  <c:v>225.37572428040912</c:v>
                </c:pt>
                <c:pt idx="15">
                  <c:v>1314.0032101069019</c:v>
                </c:pt>
                <c:pt idx="16">
                  <c:v>130.09001118453409</c:v>
                </c:pt>
                <c:pt idx="17">
                  <c:v>12.813776112279724</c:v>
                </c:pt>
                <c:pt idx="18">
                  <c:v>8.3173523700615419</c:v>
                </c:pt>
                <c:pt idx="19">
                  <c:v>7.9034907833756884</c:v>
                </c:pt>
                <c:pt idx="20">
                  <c:v>2.9190542289493702</c:v>
                </c:pt>
                <c:pt idx="21">
                  <c:v>2.2333727154931196</c:v>
                </c:pt>
                <c:pt idx="22">
                  <c:v>2.8774030771020507</c:v>
                </c:pt>
                <c:pt idx="23">
                  <c:v>6.4748473951274779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2-4581-8516-FEF476DC4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673008"/>
        <c:axId val="392673488"/>
      </c:scatterChart>
      <c:valAx>
        <c:axId val="39267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673488"/>
        <c:crosses val="autoZero"/>
        <c:crossBetween val="midCat"/>
      </c:valAx>
      <c:valAx>
        <c:axId val="3926734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67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26</xdr:row>
      <xdr:rowOff>42862</xdr:rowOff>
    </xdr:from>
    <xdr:to>
      <xdr:col>7</xdr:col>
      <xdr:colOff>123825</xdr:colOff>
      <xdr:row>40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F7365-0E4D-689D-1DBB-5DF174A55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338137</xdr:colOff>
      <xdr:row>26</xdr:row>
      <xdr:rowOff>23812</xdr:rowOff>
    </xdr:from>
    <xdr:to>
      <xdr:col>15</xdr:col>
      <xdr:colOff>33337</xdr:colOff>
      <xdr:row>40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FFBC03-300E-FD7C-7C32-AAF7ED622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topLeftCell="A31" workbookViewId="0">
      <selection activeCell="L26" sqref="L26"/>
    </sheetView>
  </sheetViews>
  <sheetFormatPr defaultRowHeight="15" x14ac:dyDescent="0.25"/>
  <cols>
    <col min="1" max="1" width="2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37</v>
      </c>
    </row>
    <row r="2" spans="1:14" x14ac:dyDescent="0.25">
      <c r="A2" t="s">
        <v>12</v>
      </c>
      <c r="B2">
        <v>0.52340399999999998</v>
      </c>
      <c r="C2">
        <v>0.54892486320605005</v>
      </c>
      <c r="D2">
        <v>0.56323969353935299</v>
      </c>
      <c r="E2">
        <v>0.57702100000000001</v>
      </c>
      <c r="F2">
        <v>0.58680849999999996</v>
      </c>
      <c r="G2">
        <v>0.59255374999999999</v>
      </c>
      <c r="H2">
        <v>0.59659600000000002</v>
      </c>
      <c r="I2">
        <v>0.59978724999999999</v>
      </c>
      <c r="J2">
        <v>0.60399816666666695</v>
      </c>
      <c r="K2">
        <v>0.61149844444444401</v>
      </c>
      <c r="L2">
        <v>0.61957399999999996</v>
      </c>
      <c r="M2">
        <v>0.52851099999999995</v>
      </c>
      <c r="N2">
        <f>ABS(G2-M2)/ABS(M2)*100</f>
        <v>12.117581280238262</v>
      </c>
    </row>
    <row r="3" spans="1:14" x14ac:dyDescent="0.25">
      <c r="A3" t="s">
        <v>13</v>
      </c>
      <c r="B3">
        <v>0.49171967059435401</v>
      </c>
      <c r="C3">
        <v>0.51492601697963902</v>
      </c>
      <c r="D3">
        <v>0.52766000000000002</v>
      </c>
      <c r="E3">
        <v>0.53877083231952605</v>
      </c>
      <c r="F3">
        <v>0.55042524999999998</v>
      </c>
      <c r="G3">
        <v>0.56159562500000004</v>
      </c>
      <c r="H3">
        <v>0.56970239999999905</v>
      </c>
      <c r="I3">
        <v>0.57440417499999996</v>
      </c>
      <c r="J3">
        <v>0.57821239999999996</v>
      </c>
      <c r="K3">
        <v>0.57991539999999997</v>
      </c>
      <c r="L3">
        <v>0.58212799999999998</v>
      </c>
      <c r="M3">
        <v>0.49617</v>
      </c>
      <c r="N3">
        <f t="shared" ref="N3:N25" si="0">ABS(G3-M3)/ABS(M3)*100</f>
        <v>13.186130761634127</v>
      </c>
    </row>
    <row r="4" spans="1:14" x14ac:dyDescent="0.25">
      <c r="A4" t="s">
        <v>14</v>
      </c>
      <c r="B4">
        <v>0.47066795312717902</v>
      </c>
      <c r="C4">
        <v>0.49312076094164098</v>
      </c>
      <c r="D4">
        <v>0.50808500000000001</v>
      </c>
      <c r="E4">
        <v>0.52068978593815296</v>
      </c>
      <c r="F4">
        <v>0.52740469999999995</v>
      </c>
      <c r="G4">
        <v>0.53021299999999905</v>
      </c>
      <c r="H4">
        <v>0.53531899999999999</v>
      </c>
      <c r="I4">
        <v>0.54374489999999998</v>
      </c>
      <c r="J4">
        <v>0.55148900000000001</v>
      </c>
      <c r="K4">
        <v>0.55574500000000004</v>
      </c>
      <c r="L4">
        <v>0.56170200000000003</v>
      </c>
      <c r="M4">
        <v>0.465532</v>
      </c>
      <c r="N4">
        <f t="shared" si="0"/>
        <v>13.893996545887081</v>
      </c>
    </row>
    <row r="5" spans="1:14" x14ac:dyDescent="0.25">
      <c r="A5" t="s">
        <v>15</v>
      </c>
      <c r="B5">
        <v>0.478261155190913</v>
      </c>
      <c r="C5">
        <v>0.50780224486273495</v>
      </c>
      <c r="D5">
        <v>0.51272228622909599</v>
      </c>
      <c r="E5">
        <v>0.51517145982372403</v>
      </c>
      <c r="F5">
        <v>0.51659600000000006</v>
      </c>
      <c r="G5">
        <v>0.51744699999999999</v>
      </c>
      <c r="H5">
        <v>0.52348909999999904</v>
      </c>
      <c r="I5">
        <v>0.53361700000000001</v>
      </c>
      <c r="J5">
        <v>0.54455334999999905</v>
      </c>
      <c r="K5">
        <v>0.55525567499999995</v>
      </c>
      <c r="L5">
        <v>0.56680900000000001</v>
      </c>
      <c r="M5">
        <v>0.45531899999999997</v>
      </c>
      <c r="N5">
        <f t="shared" si="0"/>
        <v>13.644939042737075</v>
      </c>
    </row>
    <row r="6" spans="1:14" x14ac:dyDescent="0.25">
      <c r="A6" t="s">
        <v>16</v>
      </c>
      <c r="B6">
        <v>0.49680824999999901</v>
      </c>
      <c r="C6">
        <v>0.51914899999999997</v>
      </c>
      <c r="D6">
        <v>0.52340399999999998</v>
      </c>
      <c r="E6">
        <v>0.524228006332635</v>
      </c>
      <c r="F6">
        <v>0.524898552273935</v>
      </c>
      <c r="G6">
        <v>0.525549110180205</v>
      </c>
      <c r="H6">
        <v>0.53285109999999902</v>
      </c>
      <c r="I6">
        <v>0.54832879999999895</v>
      </c>
      <c r="J6">
        <v>0.56370184999999995</v>
      </c>
      <c r="K6">
        <v>0.57206392499999903</v>
      </c>
      <c r="L6">
        <v>0.58297900000000002</v>
      </c>
      <c r="M6">
        <v>0.45617000000000002</v>
      </c>
      <c r="N6">
        <f t="shared" si="0"/>
        <v>15.209047105290788</v>
      </c>
    </row>
    <row r="7" spans="1:14" x14ac:dyDescent="0.25">
      <c r="A7" t="s">
        <v>17</v>
      </c>
      <c r="B7">
        <v>0.51914899999999997</v>
      </c>
      <c r="C7">
        <v>0.537808175</v>
      </c>
      <c r="D7">
        <v>0.54026857777777704</v>
      </c>
      <c r="E7">
        <v>0.54080473333333301</v>
      </c>
      <c r="F7">
        <v>0.54965934999999999</v>
      </c>
      <c r="G7">
        <v>0.56265937499999996</v>
      </c>
      <c r="H7">
        <v>0.57411805725385501</v>
      </c>
      <c r="I7">
        <v>0.58386281107503002</v>
      </c>
      <c r="J7">
        <v>0.59144605764235003</v>
      </c>
      <c r="K7">
        <v>0.59146752882117504</v>
      </c>
      <c r="L7">
        <v>0.59148900000000004</v>
      </c>
      <c r="M7">
        <v>0.47489399999999998</v>
      </c>
      <c r="N7">
        <f t="shared" si="0"/>
        <v>18.481045243780713</v>
      </c>
    </row>
    <row r="8" spans="1:14" x14ac:dyDescent="0.25">
      <c r="A8" t="s">
        <v>18</v>
      </c>
      <c r="B8">
        <v>0.46893600000000002</v>
      </c>
      <c r="C8">
        <v>0.47593501814970501</v>
      </c>
      <c r="D8">
        <v>0.47685129999999998</v>
      </c>
      <c r="E8">
        <v>0.47744700000000001</v>
      </c>
      <c r="F8">
        <v>0.48170200000000002</v>
      </c>
      <c r="G8">
        <v>0.488830125</v>
      </c>
      <c r="H8">
        <v>0.50144719999999998</v>
      </c>
      <c r="I8">
        <v>0.51914899999999997</v>
      </c>
      <c r="J8">
        <v>0.53413226280998005</v>
      </c>
      <c r="K8">
        <v>0.53819870450466301</v>
      </c>
      <c r="L8">
        <v>0.54132362809980095</v>
      </c>
      <c r="M8">
        <v>0.364255</v>
      </c>
      <c r="N8">
        <f t="shared" si="0"/>
        <v>34.199976664699186</v>
      </c>
    </row>
    <row r="9" spans="1:14" x14ac:dyDescent="0.25">
      <c r="A9" t="s">
        <v>19</v>
      </c>
      <c r="B9">
        <v>0.26690358446653401</v>
      </c>
      <c r="C9">
        <v>0.29671622726549202</v>
      </c>
      <c r="D9">
        <v>0.32670833072288702</v>
      </c>
      <c r="E9">
        <v>0.35130546311583399</v>
      </c>
      <c r="F9">
        <v>0.36581027777777703</v>
      </c>
      <c r="G9">
        <v>0.376914625</v>
      </c>
      <c r="H9">
        <v>0.392183309335639</v>
      </c>
      <c r="I9">
        <v>0.40725388034082699</v>
      </c>
      <c r="J9">
        <v>0.41773505509356301</v>
      </c>
      <c r="K9">
        <v>0.426533546358425</v>
      </c>
      <c r="L9">
        <v>0.43319200000000002</v>
      </c>
      <c r="M9">
        <v>0.157447</v>
      </c>
      <c r="N9">
        <f t="shared" si="0"/>
        <v>139.39143013204443</v>
      </c>
    </row>
    <row r="10" spans="1:14" x14ac:dyDescent="0.25">
      <c r="A10" t="s">
        <v>20</v>
      </c>
      <c r="B10">
        <v>4.6932151092577E-2</v>
      </c>
      <c r="C10">
        <v>7.5644069855520496E-2</v>
      </c>
      <c r="D10">
        <v>9.4194275314072096E-2</v>
      </c>
      <c r="E10">
        <v>0.110162536629705</v>
      </c>
      <c r="F10">
        <v>0.116517786151605</v>
      </c>
      <c r="G10">
        <v>0.123433111417555</v>
      </c>
      <c r="H10">
        <v>0.13060848921284399</v>
      </c>
      <c r="I10">
        <v>0.14054135102041301</v>
      </c>
      <c r="J10">
        <v>0.15815411773003399</v>
      </c>
      <c r="K10">
        <v>0.19694052856987801</v>
      </c>
      <c r="L10">
        <v>0.25446800000000003</v>
      </c>
      <c r="M10">
        <v>-0.12</v>
      </c>
      <c r="N10">
        <f t="shared" si="0"/>
        <v>202.86092618129584</v>
      </c>
    </row>
    <row r="11" spans="1:14" x14ac:dyDescent="0.25">
      <c r="A11" t="s">
        <v>21</v>
      </c>
      <c r="B11">
        <v>-0.16082941599269701</v>
      </c>
      <c r="C11">
        <v>-0.131680083771087</v>
      </c>
      <c r="D11">
        <v>-8.7829618798659095E-2</v>
      </c>
      <c r="E11">
        <v>-4.2808428348326197E-2</v>
      </c>
      <c r="F11">
        <v>3.0251876110567702E-3</v>
      </c>
      <c r="G11">
        <v>5.1663241139976397E-2</v>
      </c>
      <c r="H11">
        <v>9.3310602340893001E-2</v>
      </c>
      <c r="I11">
        <v>0.110878981275152</v>
      </c>
      <c r="J11">
        <v>0.12709277109940301</v>
      </c>
      <c r="K11">
        <v>0.140666483680529</v>
      </c>
      <c r="L11">
        <v>0.15319199999999999</v>
      </c>
      <c r="M11">
        <v>-0.33276600000000001</v>
      </c>
      <c r="N11">
        <f t="shared" si="0"/>
        <v>115.52539656694987</v>
      </c>
    </row>
    <row r="12" spans="1:14" x14ac:dyDescent="0.25">
      <c r="A12" t="s">
        <v>22</v>
      </c>
      <c r="B12">
        <v>-0.28682440157199302</v>
      </c>
      <c r="C12">
        <v>-0.28607326298678698</v>
      </c>
      <c r="D12">
        <v>-0.28172824251518902</v>
      </c>
      <c r="E12">
        <v>-0.27915228031439798</v>
      </c>
      <c r="F12">
        <v>-0.208377272926829</v>
      </c>
      <c r="G12">
        <v>-0.115525977372425</v>
      </c>
      <c r="H12">
        <v>-8.1657468442396901E-3</v>
      </c>
      <c r="I12">
        <v>0.10722818198893599</v>
      </c>
      <c r="J12">
        <v>0.18992810356846401</v>
      </c>
      <c r="K12">
        <v>0.21105666778238799</v>
      </c>
      <c r="L12">
        <v>0.23063799999999901</v>
      </c>
      <c r="M12">
        <v>-0.34723399999999999</v>
      </c>
      <c r="N12">
        <f t="shared" si="0"/>
        <v>66.729647047113772</v>
      </c>
    </row>
    <row r="13" spans="1:14" x14ac:dyDescent="0.25">
      <c r="A13" t="s">
        <v>23</v>
      </c>
      <c r="B13">
        <v>-0.32019787520959803</v>
      </c>
      <c r="C13">
        <v>-0.296452944379129</v>
      </c>
      <c r="D13">
        <v>-0.22074808250223901</v>
      </c>
      <c r="E13">
        <v>-0.137506539179509</v>
      </c>
      <c r="F13">
        <v>-5.9413260002493598E-2</v>
      </c>
      <c r="G13">
        <v>1.6836558015245199E-2</v>
      </c>
      <c r="H13">
        <v>0.103659773334377</v>
      </c>
      <c r="I13">
        <v>0.184454058889193</v>
      </c>
      <c r="J13">
        <v>0.26788447044179498</v>
      </c>
      <c r="K13">
        <v>0.282411351197216</v>
      </c>
      <c r="L13">
        <v>0.29787200000000003</v>
      </c>
      <c r="M13">
        <v>-0.251915</v>
      </c>
      <c r="N13">
        <f t="shared" si="0"/>
        <v>106.68342814649591</v>
      </c>
    </row>
    <row r="14" spans="1:14" x14ac:dyDescent="0.25">
      <c r="A14" t="s">
        <v>24</v>
      </c>
      <c r="B14">
        <v>-1.00166989212892E-2</v>
      </c>
      <c r="C14">
        <v>2.2140320462624499E-3</v>
      </c>
      <c r="D14">
        <v>9.0331736702105696E-3</v>
      </c>
      <c r="E14">
        <v>1.6579131920168799E-2</v>
      </c>
      <c r="F14">
        <v>3.92089905521344E-2</v>
      </c>
      <c r="G14">
        <v>7.8195810735633503E-2</v>
      </c>
      <c r="H14">
        <v>0.11506419999999901</v>
      </c>
      <c r="I14">
        <v>0.15342527777777701</v>
      </c>
      <c r="J14">
        <v>0.18348461583514</v>
      </c>
      <c r="K14">
        <v>0.20205896773318799</v>
      </c>
      <c r="L14">
        <v>0.226383</v>
      </c>
      <c r="M14">
        <v>-0.43319099999999999</v>
      </c>
      <c r="N14">
        <f t="shared" si="0"/>
        <v>118.0511161902333</v>
      </c>
    </row>
    <row r="15" spans="1:14" x14ac:dyDescent="0.25">
      <c r="A15" t="s">
        <v>25</v>
      </c>
      <c r="B15">
        <v>-0.17159395514784301</v>
      </c>
      <c r="C15">
        <v>-0.16973149159227399</v>
      </c>
      <c r="D15">
        <v>-0.13210596563646701</v>
      </c>
      <c r="E15">
        <v>-7.8651584553385404E-2</v>
      </c>
      <c r="F15">
        <v>-2.4288668728116299E-4</v>
      </c>
      <c r="G15">
        <v>9.3643294418006007E-2</v>
      </c>
      <c r="H15">
        <v>0.147574399999999</v>
      </c>
      <c r="I15">
        <v>0.15937772222222199</v>
      </c>
      <c r="J15">
        <v>0.18196461740331399</v>
      </c>
      <c r="K15">
        <v>0.27394779143646297</v>
      </c>
      <c r="L15">
        <v>0.363404</v>
      </c>
      <c r="M15">
        <v>-0.38127699999999998</v>
      </c>
      <c r="N15">
        <f t="shared" si="0"/>
        <v>124.56043622301006</v>
      </c>
    </row>
    <row r="16" spans="1:14" x14ac:dyDescent="0.25">
      <c r="A16" t="s">
        <v>26</v>
      </c>
      <c r="B16">
        <v>-2.0527623547530401E-2</v>
      </c>
      <c r="C16">
        <v>4.8989365334831801E-2</v>
      </c>
      <c r="D16">
        <v>0.143918427541807</v>
      </c>
      <c r="E16">
        <v>0.235649678442726</v>
      </c>
      <c r="F16">
        <v>0.362260900859876</v>
      </c>
      <c r="G16">
        <v>0.41614083524531997</v>
      </c>
      <c r="H16">
        <v>0.45250873249712598</v>
      </c>
      <c r="I16">
        <v>0.491064</v>
      </c>
      <c r="J16">
        <v>0.52425500000000003</v>
      </c>
      <c r="K16">
        <v>0.53763797499999999</v>
      </c>
      <c r="L16">
        <v>0.55148900000000001</v>
      </c>
      <c r="M16">
        <v>-0.33191500000000002</v>
      </c>
      <c r="N16">
        <f t="shared" si="0"/>
        <v>225.37572428040912</v>
      </c>
    </row>
    <row r="17" spans="1:14" x14ac:dyDescent="0.25">
      <c r="A17" t="s">
        <v>27</v>
      </c>
      <c r="B17">
        <v>0.29365912726474702</v>
      </c>
      <c r="C17">
        <v>0.39531838262823099</v>
      </c>
      <c r="D17">
        <v>0.42893599999999998</v>
      </c>
      <c r="E17">
        <v>0.45531899999999997</v>
      </c>
      <c r="F17">
        <v>0.48504326757187499</v>
      </c>
      <c r="G17">
        <v>0.51659600000000006</v>
      </c>
      <c r="H17">
        <v>0.53617000000000004</v>
      </c>
      <c r="I17">
        <v>0.54148747883385395</v>
      </c>
      <c r="J17">
        <v>0.54890149999999904</v>
      </c>
      <c r="K17">
        <v>0.56287212499999895</v>
      </c>
      <c r="L17">
        <v>0.57872299999999999</v>
      </c>
      <c r="M17">
        <v>-4.2553100000000003E-2</v>
      </c>
      <c r="N17">
        <f t="shared" si="0"/>
        <v>1314.0032101069019</v>
      </c>
    </row>
    <row r="18" spans="1:14" x14ac:dyDescent="0.25">
      <c r="A18" t="s">
        <v>28</v>
      </c>
      <c r="B18">
        <v>0.41957387507339899</v>
      </c>
      <c r="C18">
        <v>0.44472303750733999</v>
      </c>
      <c r="D18">
        <v>0.487228479115563</v>
      </c>
      <c r="E18">
        <v>0.52995125014229605</v>
      </c>
      <c r="F18">
        <v>0.56590913835247902</v>
      </c>
      <c r="G18">
        <v>0.61096260849851702</v>
      </c>
      <c r="H18">
        <v>0.64442775555555498</v>
      </c>
      <c r="I18">
        <v>0.647555521621621</v>
      </c>
      <c r="J18">
        <v>0.65880868411092697</v>
      </c>
      <c r="K18">
        <v>0.69276735331704398</v>
      </c>
      <c r="L18">
        <v>0.72866818784917098</v>
      </c>
      <c r="M18">
        <v>0.26553199999999999</v>
      </c>
      <c r="N18">
        <f t="shared" si="0"/>
        <v>130.09001118453409</v>
      </c>
    </row>
    <row r="19" spans="1:14" x14ac:dyDescent="0.25">
      <c r="A19" t="s">
        <v>29</v>
      </c>
      <c r="B19">
        <v>0.667233997440288</v>
      </c>
      <c r="C19">
        <v>0.671829399744028</v>
      </c>
      <c r="D19">
        <v>0.68355554876007896</v>
      </c>
      <c r="E19">
        <v>0.694258166115169</v>
      </c>
      <c r="F19">
        <v>0.70476676033013896</v>
      </c>
      <c r="G19">
        <v>0.71432667710310505</v>
      </c>
      <c r="H19">
        <v>0.72760994368281295</v>
      </c>
      <c r="I19">
        <v>0.74614866666666602</v>
      </c>
      <c r="J19">
        <v>0.78083790755154703</v>
      </c>
      <c r="K19">
        <v>1.2127699999999999</v>
      </c>
      <c r="L19">
        <v>1.2127699999999999</v>
      </c>
      <c r="M19">
        <v>0.63319099999999995</v>
      </c>
      <c r="N19">
        <f t="shared" si="0"/>
        <v>12.813776112279724</v>
      </c>
    </row>
    <row r="20" spans="1:14" x14ac:dyDescent="0.25">
      <c r="A20" t="s">
        <v>30</v>
      </c>
      <c r="B20">
        <v>0.80709236636636605</v>
      </c>
      <c r="C20">
        <v>0.811007266666666</v>
      </c>
      <c r="D20">
        <v>0.81310640000000001</v>
      </c>
      <c r="E20">
        <v>0.81417014999999904</v>
      </c>
      <c r="F20">
        <v>0.81983766339797304</v>
      </c>
      <c r="G20">
        <v>0.82966542586667602</v>
      </c>
      <c r="H20">
        <v>0.83882361977418396</v>
      </c>
      <c r="I20">
        <v>0.84894090614852302</v>
      </c>
      <c r="J20">
        <v>0.90322392820396502</v>
      </c>
      <c r="K20">
        <v>1.2127699999999999</v>
      </c>
      <c r="L20">
        <v>1.2127699999999999</v>
      </c>
      <c r="M20">
        <v>0.76595800000000003</v>
      </c>
      <c r="N20">
        <f t="shared" si="0"/>
        <v>8.3173523700615419</v>
      </c>
    </row>
    <row r="21" spans="1:14" x14ac:dyDescent="0.25">
      <c r="A21" t="s">
        <v>31</v>
      </c>
      <c r="B21">
        <v>0.817020999999999</v>
      </c>
      <c r="C21">
        <v>0.82544689999999998</v>
      </c>
      <c r="D21">
        <v>0.83329093770266804</v>
      </c>
      <c r="E21">
        <v>0.84081890048505104</v>
      </c>
      <c r="F21">
        <v>0.852523184549702</v>
      </c>
      <c r="G21">
        <v>0.86598270238670505</v>
      </c>
      <c r="H21">
        <v>0.87584385649835095</v>
      </c>
      <c r="I21">
        <v>0.88007611591185098</v>
      </c>
      <c r="J21">
        <v>0.91223853265662702</v>
      </c>
      <c r="K21">
        <v>1.2127699999999999</v>
      </c>
      <c r="L21">
        <v>1.2127699999999999</v>
      </c>
      <c r="M21">
        <v>0.80255299999999996</v>
      </c>
      <c r="N21">
        <f t="shared" si="0"/>
        <v>7.9034907833756884</v>
      </c>
    </row>
    <row r="22" spans="1:14" x14ac:dyDescent="0.25">
      <c r="A22" t="s">
        <v>32</v>
      </c>
      <c r="B22">
        <v>0.77598732968941897</v>
      </c>
      <c r="C22">
        <v>0.78113108296894196</v>
      </c>
      <c r="D22">
        <v>0.78881241394758295</v>
      </c>
      <c r="E22">
        <v>0.79649294213861499</v>
      </c>
      <c r="F22">
        <v>0.80258849881654204</v>
      </c>
      <c r="G22">
        <v>0.80933794621723898</v>
      </c>
      <c r="H22">
        <v>0.82127700000000003</v>
      </c>
      <c r="I22">
        <v>0.83829799999999899</v>
      </c>
      <c r="J22">
        <v>0.85223086666666603</v>
      </c>
      <c r="K22">
        <v>0.85376189999999996</v>
      </c>
      <c r="L22">
        <v>0.85616999999999999</v>
      </c>
      <c r="M22">
        <v>0.78638300000000005</v>
      </c>
      <c r="N22">
        <f>ABS(G22-M22)/ABS(M22)*100</f>
        <v>2.9190542289493702</v>
      </c>
    </row>
    <row r="23" spans="1:14" x14ac:dyDescent="0.25">
      <c r="A23" t="s">
        <v>33</v>
      </c>
      <c r="B23">
        <v>0.73320433294953002</v>
      </c>
      <c r="C23">
        <v>0.73827686664747605</v>
      </c>
      <c r="D23">
        <v>0.74325348159179705</v>
      </c>
      <c r="E23">
        <v>0.74834700804973298</v>
      </c>
      <c r="F23">
        <v>0.75597004278564495</v>
      </c>
      <c r="G23">
        <v>0.76305251427507903</v>
      </c>
      <c r="H23">
        <v>0.77344679999999999</v>
      </c>
      <c r="I23">
        <v>0.77965936756756704</v>
      </c>
      <c r="J23">
        <v>0.78757438018248804</v>
      </c>
      <c r="K23">
        <v>0.79689379550184103</v>
      </c>
      <c r="L23">
        <v>0.80595700000000003</v>
      </c>
      <c r="M23">
        <v>0.74638300000000002</v>
      </c>
      <c r="N23">
        <f t="shared" si="0"/>
        <v>2.2333727154931196</v>
      </c>
    </row>
    <row r="24" spans="1:14" x14ac:dyDescent="0.25">
      <c r="A24" t="s">
        <v>34</v>
      </c>
      <c r="B24">
        <v>0.67216590646363905</v>
      </c>
      <c r="C24">
        <v>0.69930149267250497</v>
      </c>
      <c r="D24">
        <v>0.70417039999999997</v>
      </c>
      <c r="E24">
        <v>0.70527669999999998</v>
      </c>
      <c r="F24">
        <v>0.70629790000000003</v>
      </c>
      <c r="G24">
        <v>0.70744675000000001</v>
      </c>
      <c r="H24">
        <v>0.70812472846658303</v>
      </c>
      <c r="I24">
        <v>0.70821411751639496</v>
      </c>
      <c r="J24">
        <v>0.71161561082609603</v>
      </c>
      <c r="K24">
        <v>0.72340400000000005</v>
      </c>
      <c r="L24">
        <v>0.73616999999999999</v>
      </c>
      <c r="M24">
        <v>0.68766000000000005</v>
      </c>
      <c r="N24">
        <f t="shared" si="0"/>
        <v>2.8774030771020507</v>
      </c>
    </row>
    <row r="25" spans="1:14" x14ac:dyDescent="0.25">
      <c r="A25" t="s">
        <v>35</v>
      </c>
      <c r="B25">
        <v>0.59455804832900405</v>
      </c>
      <c r="C25">
        <v>0.63712450966580003</v>
      </c>
      <c r="D25">
        <v>0.64503239999999995</v>
      </c>
      <c r="E25">
        <v>0.64997897500000001</v>
      </c>
      <c r="F25">
        <v>0.65362231874999899</v>
      </c>
      <c r="G25">
        <v>0.65787826909722202</v>
      </c>
      <c r="H25">
        <v>0.661436987997017</v>
      </c>
      <c r="I25">
        <v>0.66792682036530704</v>
      </c>
      <c r="J25">
        <v>0.67171962098658</v>
      </c>
      <c r="K25">
        <v>0.67202981049329003</v>
      </c>
      <c r="L25">
        <v>0.67234000000000005</v>
      </c>
      <c r="M25">
        <v>0.61787199999999998</v>
      </c>
      <c r="N25">
        <f t="shared" si="0"/>
        <v>6.4748473951274779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prob_forecast_Waianae_2023-6-12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MacDonald</dc:creator>
  <cp:lastModifiedBy>Ross MacDonald</cp:lastModifiedBy>
  <dcterms:created xsi:type="dcterms:W3CDTF">2023-06-15T13:16:18Z</dcterms:created>
  <dcterms:modified xsi:type="dcterms:W3CDTF">2023-06-15T13:16:26Z</dcterms:modified>
</cp:coreProperties>
</file>