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m\Desktop\net load forecasting\net-load\"/>
    </mc:Choice>
  </mc:AlternateContent>
  <xr:revisionPtr revIDLastSave="0" documentId="8_{BB216839-8E3A-4282-9FEF-B48768A0CCA7}" xr6:coauthVersionLast="47" xr6:coauthVersionMax="47" xr10:uidLastSave="{00000000-0000-0000-0000-000000000000}"/>
  <bookViews>
    <workbookView xWindow="9180" yWindow="8190" windowWidth="21600" windowHeight="11295"/>
  </bookViews>
  <sheets>
    <sheet name="prob_forecast_Donalsonville_202" sheetId="1" r:id="rId1"/>
  </sheets>
  <calcPr calcId="0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</calcChain>
</file>

<file path=xl/sharedStrings.xml><?xml version="1.0" encoding="utf-8"?>
<sst xmlns="http://schemas.openxmlformats.org/spreadsheetml/2006/main" count="38" uniqueCount="38">
  <si>
    <t>timestamp</t>
  </si>
  <si>
    <t>p0</t>
  </si>
  <si>
    <t>p10</t>
  </si>
  <si>
    <t>p20</t>
  </si>
  <si>
    <t>p30</t>
  </si>
  <si>
    <t>p40</t>
  </si>
  <si>
    <t>p50</t>
  </si>
  <si>
    <t>p60</t>
  </si>
  <si>
    <t>p70</t>
  </si>
  <si>
    <t>p80</t>
  </si>
  <si>
    <t>p90</t>
  </si>
  <si>
    <t>p100</t>
  </si>
  <si>
    <t>2023-06-11T05:00:00.000000Z</t>
  </si>
  <si>
    <t>2023-06-11T06:00:00.000000Z</t>
  </si>
  <si>
    <t>2023-06-11T07:00:00.000000Z</t>
  </si>
  <si>
    <t>2023-06-11T08:00:00.000000Z</t>
  </si>
  <si>
    <t>2023-06-11T09:00:00.000000Z</t>
  </si>
  <si>
    <t>2023-06-11T10:00:00.000000Z</t>
  </si>
  <si>
    <t>2023-06-11T11:00:00.000000Z</t>
  </si>
  <si>
    <t>2023-06-11T12:00:00.000000Z</t>
  </si>
  <si>
    <t>2023-06-11T13:00:00.000000Z</t>
  </si>
  <si>
    <t>2023-06-11T14:00:00.000000Z</t>
  </si>
  <si>
    <t>2023-06-11T15:00:00.000000Z</t>
  </si>
  <si>
    <t>2023-06-11T16:00:00.000000Z</t>
  </si>
  <si>
    <t>2023-06-11T17:00:00.000000Z</t>
  </si>
  <si>
    <t>2023-06-11T18:00:00.000000Z</t>
  </si>
  <si>
    <t>2023-06-11T19:00:00.000000Z</t>
  </si>
  <si>
    <t>2023-06-11T20:00:00.000000Z</t>
  </si>
  <si>
    <t>2023-06-11T21:00:00.000000Z</t>
  </si>
  <si>
    <t>2023-06-11T22:00:00.000000Z</t>
  </si>
  <si>
    <t>2023-06-11T23:00:00.000000Z</t>
  </si>
  <si>
    <t>2023-06-12T00:00:00.000000Z</t>
  </si>
  <si>
    <t>2023-06-12T01:00:00.000000Z</t>
  </si>
  <si>
    <t>2023-06-12T02:00:00.000000Z</t>
  </si>
  <si>
    <t>2023-06-12T03:00:00.000000Z</t>
  </si>
  <si>
    <t>2023-06-12T04:00:00.000000Z</t>
  </si>
  <si>
    <t>Actuals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</si>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</sst>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Donalsonville</a:t>
            </a:r>
            <a:r>
              <a:rPr lang="en-US" baseline="0"/>
              <a:t> 6/11 Pred vs actuals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prob_forecast_Donalsonville_202!$B$1</c:f>
              <c:strCache>
                <c:ptCount val="1"/>
                <c:pt idx="0">
                  <c:v>p0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prob_forecast_Donalsonville_202!$B$2:$B$25</c:f>
              <c:numCache>
                <c:formatCode>General</c:formatCode>
                <c:ptCount val="24"/>
                <c:pt idx="0">
                  <c:v>0.224138</c:v>
                </c:pt>
                <c:pt idx="1">
                  <c:v>0.18965499999999999</c:v>
                </c:pt>
                <c:pt idx="2">
                  <c:v>0.18965499999999999</c:v>
                </c:pt>
                <c:pt idx="3">
                  <c:v>0.17241400000000001</c:v>
                </c:pt>
                <c:pt idx="4">
                  <c:v>0.137931</c:v>
                </c:pt>
                <c:pt idx="5">
                  <c:v>0.17241400000000001</c:v>
                </c:pt>
                <c:pt idx="6">
                  <c:v>0.17241400000000001</c:v>
                </c:pt>
                <c:pt idx="7">
                  <c:v>0.24137900000000001</c:v>
                </c:pt>
                <c:pt idx="8">
                  <c:v>0.24137900000000001</c:v>
                </c:pt>
                <c:pt idx="9">
                  <c:v>0.206897</c:v>
                </c:pt>
                <c:pt idx="10">
                  <c:v>0.103448</c:v>
                </c:pt>
                <c:pt idx="11">
                  <c:v>0</c:v>
                </c:pt>
                <c:pt idx="12">
                  <c:v>-5.1723999999999999E-2</c:v>
                </c:pt>
                <c:pt idx="13">
                  <c:v>-8.6207000000000006E-2</c:v>
                </c:pt>
                <c:pt idx="14">
                  <c:v>-8.6207000000000006E-2</c:v>
                </c:pt>
                <c:pt idx="15">
                  <c:v>-1.7240999999999999E-2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0.18965499999999999</c:v>
                </c:pt>
                <c:pt idx="20">
                  <c:v>0.224138</c:v>
                </c:pt>
                <c:pt idx="21">
                  <c:v>0.24137900000000001</c:v>
                </c:pt>
                <c:pt idx="22">
                  <c:v>0.24137900000000001</c:v>
                </c:pt>
                <c:pt idx="23">
                  <c:v>0.224138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B-46F2-9594-288D11957E6D}"/>
            </c:ext>
          </c:extLst>
        </c:ser>
        <c:ser>
          <c:idx val="1"/>
          <c:order val="1"/>
          <c:tx>
            <c:strRef>
              <c:f>prob_forecast_Donalsonville_202!$C$1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prob_forecast_Donalsonville_202!$C$2:$C$25</c:f>
              <c:numCache>
                <c:formatCode>General</c:formatCode>
                <c:ptCount val="24"/>
                <c:pt idx="0">
                  <c:v>0.24137900000000001</c:v>
                </c:pt>
                <c:pt idx="1">
                  <c:v>0.206897</c:v>
                </c:pt>
                <c:pt idx="2">
                  <c:v>0.18965499999999999</c:v>
                </c:pt>
                <c:pt idx="3">
                  <c:v>0.18965499999999999</c:v>
                </c:pt>
                <c:pt idx="4">
                  <c:v>0.155172</c:v>
                </c:pt>
                <c:pt idx="5">
                  <c:v>0.18965499999999999</c:v>
                </c:pt>
                <c:pt idx="6">
                  <c:v>0.17241400000000001</c:v>
                </c:pt>
                <c:pt idx="7">
                  <c:v>0.25862099999999999</c:v>
                </c:pt>
                <c:pt idx="8">
                  <c:v>0.275862</c:v>
                </c:pt>
                <c:pt idx="9">
                  <c:v>0.206897</c:v>
                </c:pt>
                <c:pt idx="10">
                  <c:v>0.137931</c:v>
                </c:pt>
                <c:pt idx="11">
                  <c:v>0</c:v>
                </c:pt>
                <c:pt idx="12">
                  <c:v>0</c:v>
                </c:pt>
                <c:pt idx="13">
                  <c:v>-5.1723999999999999E-2</c:v>
                </c:pt>
                <c:pt idx="14">
                  <c:v>-3.4483E-2</c:v>
                </c:pt>
                <c:pt idx="15">
                  <c:v>0</c:v>
                </c:pt>
                <c:pt idx="16">
                  <c:v>0</c:v>
                </c:pt>
                <c:pt idx="17">
                  <c:v>8.6207000000000006E-2</c:v>
                </c:pt>
                <c:pt idx="18">
                  <c:v>1.1637675000000401E-2</c:v>
                </c:pt>
                <c:pt idx="19">
                  <c:v>0.224138</c:v>
                </c:pt>
                <c:pt idx="20">
                  <c:v>0.224138</c:v>
                </c:pt>
                <c:pt idx="21">
                  <c:v>0.25862099999999999</c:v>
                </c:pt>
                <c:pt idx="22">
                  <c:v>0.25862099999999999</c:v>
                </c:pt>
                <c:pt idx="23">
                  <c:v>0.224138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DB-46F2-9594-288D11957E6D}"/>
            </c:ext>
          </c:extLst>
        </c:ser>
        <c:ser>
          <c:idx val="2"/>
          <c:order val="2"/>
          <c:tx>
            <c:strRef>
              <c:f>prob_forecast_Donalsonville_202!$D$1</c:f>
              <c:strCache>
                <c:ptCount val="1"/>
                <c:pt idx="0">
                  <c:v>p20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prob_forecast_Donalsonville_202!$D$2:$D$25</c:f>
              <c:numCache>
                <c:formatCode>General</c:formatCode>
                <c:ptCount val="24"/>
                <c:pt idx="0">
                  <c:v>0.24137900000000001</c:v>
                </c:pt>
                <c:pt idx="1">
                  <c:v>0.206897</c:v>
                </c:pt>
                <c:pt idx="2">
                  <c:v>0.206897</c:v>
                </c:pt>
                <c:pt idx="3">
                  <c:v>0.18965499999999999</c:v>
                </c:pt>
                <c:pt idx="4">
                  <c:v>0.17241400000000001</c:v>
                </c:pt>
                <c:pt idx="5">
                  <c:v>0.206897</c:v>
                </c:pt>
                <c:pt idx="6">
                  <c:v>0.17241400000000001</c:v>
                </c:pt>
                <c:pt idx="7">
                  <c:v>0.275862</c:v>
                </c:pt>
                <c:pt idx="8">
                  <c:v>0.275862</c:v>
                </c:pt>
                <c:pt idx="9">
                  <c:v>0.224138</c:v>
                </c:pt>
                <c:pt idx="10">
                  <c:v>0.137931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3.4483E-2</c:v>
                </c:pt>
                <c:pt idx="16">
                  <c:v>0</c:v>
                </c:pt>
                <c:pt idx="17">
                  <c:v>0.10172389999999901</c:v>
                </c:pt>
                <c:pt idx="18">
                  <c:v>6.8966E-2</c:v>
                </c:pt>
                <c:pt idx="19">
                  <c:v>0.224138</c:v>
                </c:pt>
                <c:pt idx="20">
                  <c:v>0.25862099999999999</c:v>
                </c:pt>
                <c:pt idx="21">
                  <c:v>0.275862</c:v>
                </c:pt>
                <c:pt idx="22">
                  <c:v>0.275862</c:v>
                </c:pt>
                <c:pt idx="23">
                  <c:v>0.24137900000000001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DB-46F2-9594-288D11957E6D}"/>
            </c:ext>
          </c:extLst>
        </c:ser>
        <c:ser>
          <c:idx val="3"/>
          <c:order val="3"/>
          <c:tx>
            <c:strRef>
              <c:f>prob_forecast_Donalsonville_202!$E$1</c:f>
              <c:strCache>
                <c:ptCount val="1"/>
                <c:pt idx="0">
                  <c:v>p30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prob_forecast_Donalsonville_202!$E$2:$E$25</c:f>
              <c:numCache>
                <c:formatCode>General</c:formatCode>
                <c:ptCount val="24"/>
                <c:pt idx="0">
                  <c:v>0.24137900000000001</c:v>
                </c:pt>
                <c:pt idx="1">
                  <c:v>0.21012968753865799</c:v>
                </c:pt>
                <c:pt idx="2">
                  <c:v>0.224138</c:v>
                </c:pt>
                <c:pt idx="3">
                  <c:v>0.206897</c:v>
                </c:pt>
                <c:pt idx="4">
                  <c:v>0.18965499999999999</c:v>
                </c:pt>
                <c:pt idx="5">
                  <c:v>0.206897</c:v>
                </c:pt>
                <c:pt idx="6">
                  <c:v>0.18965499999999999</c:v>
                </c:pt>
                <c:pt idx="7">
                  <c:v>0.31034499999999998</c:v>
                </c:pt>
                <c:pt idx="8">
                  <c:v>0.275862</c:v>
                </c:pt>
                <c:pt idx="9">
                  <c:v>0.224138</c:v>
                </c:pt>
                <c:pt idx="10">
                  <c:v>0.137931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5.1723999999999999E-2</c:v>
                </c:pt>
                <c:pt idx="16">
                  <c:v>0</c:v>
                </c:pt>
                <c:pt idx="17">
                  <c:v>0.103448</c:v>
                </c:pt>
                <c:pt idx="18">
                  <c:v>0.12069000000000001</c:v>
                </c:pt>
                <c:pt idx="19">
                  <c:v>0.24137900000000001</c:v>
                </c:pt>
                <c:pt idx="20">
                  <c:v>0.293103</c:v>
                </c:pt>
                <c:pt idx="21">
                  <c:v>0.31034499999999998</c:v>
                </c:pt>
                <c:pt idx="22">
                  <c:v>0.29836881562221401</c:v>
                </c:pt>
                <c:pt idx="23">
                  <c:v>0.275862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DB-46F2-9594-288D11957E6D}"/>
            </c:ext>
          </c:extLst>
        </c:ser>
        <c:ser>
          <c:idx val="4"/>
          <c:order val="4"/>
          <c:tx>
            <c:strRef>
              <c:f>prob_forecast_Donalsonville_202!$F$1</c:f>
              <c:strCache>
                <c:ptCount val="1"/>
                <c:pt idx="0">
                  <c:v>p40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prob_forecast_Donalsonville_202!$F$2:$F$25</c:f>
              <c:numCache>
                <c:formatCode>General</c:formatCode>
                <c:ptCount val="24"/>
                <c:pt idx="0">
                  <c:v>0.24137900000000001</c:v>
                </c:pt>
                <c:pt idx="1">
                  <c:v>0.224138</c:v>
                </c:pt>
                <c:pt idx="2">
                  <c:v>0.24137900000000001</c:v>
                </c:pt>
                <c:pt idx="3">
                  <c:v>0.224138</c:v>
                </c:pt>
                <c:pt idx="4">
                  <c:v>0.206897</c:v>
                </c:pt>
                <c:pt idx="5">
                  <c:v>0.224138</c:v>
                </c:pt>
                <c:pt idx="6">
                  <c:v>0.18965499999999999</c:v>
                </c:pt>
                <c:pt idx="7">
                  <c:v>0.31118089285313999</c:v>
                </c:pt>
                <c:pt idx="8">
                  <c:v>0.293103</c:v>
                </c:pt>
                <c:pt idx="9">
                  <c:v>0.224138</c:v>
                </c:pt>
                <c:pt idx="10">
                  <c:v>0.137931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6.8966E-2</c:v>
                </c:pt>
                <c:pt idx="16">
                  <c:v>1.7240999999999999E-2</c:v>
                </c:pt>
                <c:pt idx="17">
                  <c:v>0.137931</c:v>
                </c:pt>
                <c:pt idx="18">
                  <c:v>0.12069000000000001</c:v>
                </c:pt>
                <c:pt idx="19">
                  <c:v>0.25862099999999999</c:v>
                </c:pt>
                <c:pt idx="20">
                  <c:v>0.31034499999999998</c:v>
                </c:pt>
                <c:pt idx="21">
                  <c:v>0.32758599999999999</c:v>
                </c:pt>
                <c:pt idx="22">
                  <c:v>0.31034499999999998</c:v>
                </c:pt>
                <c:pt idx="23">
                  <c:v>0.275862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DB-46F2-9594-288D11957E6D}"/>
            </c:ext>
          </c:extLst>
        </c:ser>
        <c:ser>
          <c:idx val="5"/>
          <c:order val="5"/>
          <c:tx>
            <c:strRef>
              <c:f>prob_forecast_Donalsonville_202!$G$1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prob_forecast_Donalsonville_202!$G$2:$G$25</c:f>
              <c:numCache>
                <c:formatCode>General</c:formatCode>
                <c:ptCount val="24"/>
                <c:pt idx="0">
                  <c:v>0.25862099999999999</c:v>
                </c:pt>
                <c:pt idx="1">
                  <c:v>0.24137900000000001</c:v>
                </c:pt>
                <c:pt idx="2">
                  <c:v>0.25862099999999999</c:v>
                </c:pt>
                <c:pt idx="3">
                  <c:v>0.25862099999999999</c:v>
                </c:pt>
                <c:pt idx="4">
                  <c:v>0.24137900000000001</c:v>
                </c:pt>
                <c:pt idx="5">
                  <c:v>0.24137900000000001</c:v>
                </c:pt>
                <c:pt idx="6">
                  <c:v>0.206897</c:v>
                </c:pt>
                <c:pt idx="7">
                  <c:v>0.32758599999999999</c:v>
                </c:pt>
                <c:pt idx="8">
                  <c:v>0.34482800000000002</c:v>
                </c:pt>
                <c:pt idx="9">
                  <c:v>0.224138</c:v>
                </c:pt>
                <c:pt idx="10">
                  <c:v>0.155172</c:v>
                </c:pt>
                <c:pt idx="11">
                  <c:v>1.7240999999999999E-2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6.8966E-2</c:v>
                </c:pt>
                <c:pt idx="16">
                  <c:v>3.4483E-2</c:v>
                </c:pt>
                <c:pt idx="17">
                  <c:v>0.17241400000000001</c:v>
                </c:pt>
                <c:pt idx="18">
                  <c:v>0.12069000000000001</c:v>
                </c:pt>
                <c:pt idx="19">
                  <c:v>0.31034499999999998</c:v>
                </c:pt>
                <c:pt idx="20">
                  <c:v>0.32758599999999999</c:v>
                </c:pt>
                <c:pt idx="21">
                  <c:v>0.32758599999999999</c:v>
                </c:pt>
                <c:pt idx="22">
                  <c:v>0.32758599999999999</c:v>
                </c:pt>
                <c:pt idx="23">
                  <c:v>0.293103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DB-46F2-9594-288D11957E6D}"/>
            </c:ext>
          </c:extLst>
        </c:ser>
        <c:ser>
          <c:idx val="6"/>
          <c:order val="6"/>
          <c:tx>
            <c:strRef>
              <c:f>prob_forecast_Donalsonville_202!$H$1</c:f>
              <c:strCache>
                <c:ptCount val="1"/>
                <c:pt idx="0">
                  <c:v>p60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prob_forecast_Donalsonville_202!$H$2:$H$25</c:f>
              <c:numCache>
                <c:formatCode>General</c:formatCode>
                <c:ptCount val="24"/>
                <c:pt idx="0">
                  <c:v>0.275862</c:v>
                </c:pt>
                <c:pt idx="1">
                  <c:v>0.24137900000000001</c:v>
                </c:pt>
                <c:pt idx="2">
                  <c:v>0.275862</c:v>
                </c:pt>
                <c:pt idx="3">
                  <c:v>0.293103</c:v>
                </c:pt>
                <c:pt idx="4">
                  <c:v>0.25862099999999999</c:v>
                </c:pt>
                <c:pt idx="5">
                  <c:v>0.25862099999999999</c:v>
                </c:pt>
                <c:pt idx="6">
                  <c:v>0.206897</c:v>
                </c:pt>
                <c:pt idx="7">
                  <c:v>0.32758599999999999</c:v>
                </c:pt>
                <c:pt idx="8">
                  <c:v>0.37930999999999998</c:v>
                </c:pt>
                <c:pt idx="9">
                  <c:v>0.24137900000000001</c:v>
                </c:pt>
                <c:pt idx="10">
                  <c:v>0.17241400000000001</c:v>
                </c:pt>
                <c:pt idx="11">
                  <c:v>8.6207000000000006E-2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8.6207000000000006E-2</c:v>
                </c:pt>
                <c:pt idx="16">
                  <c:v>5.1723999999999999E-2</c:v>
                </c:pt>
                <c:pt idx="17">
                  <c:v>0.18965499999999999</c:v>
                </c:pt>
                <c:pt idx="18">
                  <c:v>0.137931</c:v>
                </c:pt>
                <c:pt idx="19">
                  <c:v>0.36206899999999997</c:v>
                </c:pt>
                <c:pt idx="20">
                  <c:v>0.34482800000000002</c:v>
                </c:pt>
                <c:pt idx="21">
                  <c:v>0.34482800000000002</c:v>
                </c:pt>
                <c:pt idx="22">
                  <c:v>0.34482800000000002</c:v>
                </c:pt>
                <c:pt idx="23">
                  <c:v>0.293103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DB-46F2-9594-288D11957E6D}"/>
            </c:ext>
          </c:extLst>
        </c:ser>
        <c:ser>
          <c:idx val="7"/>
          <c:order val="7"/>
          <c:tx>
            <c:strRef>
              <c:f>prob_forecast_Donalsonville_202!$I$1</c:f>
              <c:strCache>
                <c:ptCount val="1"/>
                <c:pt idx="0">
                  <c:v>p70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prob_forecast_Donalsonville_202!$I$2:$I$25</c:f>
              <c:numCache>
                <c:formatCode>General</c:formatCode>
                <c:ptCount val="24"/>
                <c:pt idx="0">
                  <c:v>0.32758599999999999</c:v>
                </c:pt>
                <c:pt idx="1">
                  <c:v>0.25862099999999999</c:v>
                </c:pt>
                <c:pt idx="2">
                  <c:v>0.293103</c:v>
                </c:pt>
                <c:pt idx="3">
                  <c:v>0.293103</c:v>
                </c:pt>
                <c:pt idx="4">
                  <c:v>0.275862</c:v>
                </c:pt>
                <c:pt idx="5">
                  <c:v>0.275862</c:v>
                </c:pt>
                <c:pt idx="6">
                  <c:v>0.24137900000000001</c:v>
                </c:pt>
                <c:pt idx="7">
                  <c:v>0.34482800000000002</c:v>
                </c:pt>
                <c:pt idx="8">
                  <c:v>0.37930999999999998</c:v>
                </c:pt>
                <c:pt idx="9">
                  <c:v>0.275862</c:v>
                </c:pt>
                <c:pt idx="10">
                  <c:v>0.18965499999999999</c:v>
                </c:pt>
                <c:pt idx="11">
                  <c:v>0.12069000000000001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0.117672649999999</c:v>
                </c:pt>
                <c:pt idx="16">
                  <c:v>0.103448</c:v>
                </c:pt>
                <c:pt idx="17">
                  <c:v>0.18965499999999999</c:v>
                </c:pt>
                <c:pt idx="18">
                  <c:v>0.17241400000000001</c:v>
                </c:pt>
                <c:pt idx="19">
                  <c:v>0.36206899999999997</c:v>
                </c:pt>
                <c:pt idx="20">
                  <c:v>0.36206899999999997</c:v>
                </c:pt>
                <c:pt idx="21">
                  <c:v>0.39655200000000002</c:v>
                </c:pt>
                <c:pt idx="22">
                  <c:v>0.37930999999999998</c:v>
                </c:pt>
                <c:pt idx="23">
                  <c:v>0.293103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DB-46F2-9594-288D11957E6D}"/>
            </c:ext>
          </c:extLst>
        </c:ser>
        <c:ser>
          <c:idx val="8"/>
          <c:order val="8"/>
          <c:tx>
            <c:strRef>
              <c:f>prob_forecast_Donalsonville_202!$J$1</c:f>
              <c:strCache>
                <c:ptCount val="1"/>
                <c:pt idx="0">
                  <c:v>p80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prob_forecast_Donalsonville_202!$J$2:$J$25</c:f>
              <c:numCache>
                <c:formatCode>General</c:formatCode>
                <c:ptCount val="24"/>
                <c:pt idx="0">
                  <c:v>0.37930999999999998</c:v>
                </c:pt>
                <c:pt idx="1">
                  <c:v>0.275862</c:v>
                </c:pt>
                <c:pt idx="2">
                  <c:v>0.31034499999999998</c:v>
                </c:pt>
                <c:pt idx="3">
                  <c:v>0.293103</c:v>
                </c:pt>
                <c:pt idx="4">
                  <c:v>0.275862</c:v>
                </c:pt>
                <c:pt idx="5">
                  <c:v>0.275862</c:v>
                </c:pt>
                <c:pt idx="6">
                  <c:v>0.25862099999999999</c:v>
                </c:pt>
                <c:pt idx="7">
                  <c:v>0.36206899999999997</c:v>
                </c:pt>
                <c:pt idx="8">
                  <c:v>0.39655200000000002</c:v>
                </c:pt>
                <c:pt idx="9">
                  <c:v>0.293103</c:v>
                </c:pt>
                <c:pt idx="10">
                  <c:v>0.206897</c:v>
                </c:pt>
                <c:pt idx="11">
                  <c:v>0.137931</c:v>
                </c:pt>
                <c:pt idx="12">
                  <c:v>0</c:v>
                </c:pt>
                <c:pt idx="13">
                  <c:v>0</c:v>
                </c:pt>
                <c:pt idx="14">
                  <c:v>3.4483E-2</c:v>
                </c:pt>
                <c:pt idx="15">
                  <c:v>0.137931</c:v>
                </c:pt>
                <c:pt idx="16">
                  <c:v>0.12069000000000001</c:v>
                </c:pt>
                <c:pt idx="17">
                  <c:v>0.206897</c:v>
                </c:pt>
                <c:pt idx="18">
                  <c:v>0.18965499999999999</c:v>
                </c:pt>
                <c:pt idx="19">
                  <c:v>0.37930999999999998</c:v>
                </c:pt>
                <c:pt idx="20">
                  <c:v>0.37930999999999998</c:v>
                </c:pt>
                <c:pt idx="21">
                  <c:v>0.45286540991295798</c:v>
                </c:pt>
                <c:pt idx="22">
                  <c:v>0.43103399999999997</c:v>
                </c:pt>
                <c:pt idx="23">
                  <c:v>0.293103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DB-46F2-9594-288D11957E6D}"/>
            </c:ext>
          </c:extLst>
        </c:ser>
        <c:ser>
          <c:idx val="9"/>
          <c:order val="9"/>
          <c:tx>
            <c:strRef>
              <c:f>prob_forecast_Donalsonville_202!$K$1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prob_forecast_Donalsonville_202!$K$2:$K$25</c:f>
              <c:numCache>
                <c:formatCode>General</c:formatCode>
                <c:ptCount val="24"/>
                <c:pt idx="0">
                  <c:v>0.38491365000000199</c:v>
                </c:pt>
                <c:pt idx="1">
                  <c:v>0.31034499999999998</c:v>
                </c:pt>
                <c:pt idx="2">
                  <c:v>0.34482800000000002</c:v>
                </c:pt>
                <c:pt idx="3">
                  <c:v>0.34482800000000002</c:v>
                </c:pt>
                <c:pt idx="4">
                  <c:v>0.31034499999999998</c:v>
                </c:pt>
                <c:pt idx="5">
                  <c:v>0.32758599999999999</c:v>
                </c:pt>
                <c:pt idx="6">
                  <c:v>0.275862</c:v>
                </c:pt>
                <c:pt idx="7">
                  <c:v>0.39655200000000002</c:v>
                </c:pt>
                <c:pt idx="8">
                  <c:v>0.41379300000000002</c:v>
                </c:pt>
                <c:pt idx="9">
                  <c:v>0.31034499999999998</c:v>
                </c:pt>
                <c:pt idx="10">
                  <c:v>0.224138</c:v>
                </c:pt>
                <c:pt idx="11">
                  <c:v>0.155172</c:v>
                </c:pt>
                <c:pt idx="12">
                  <c:v>5.1723999999999999E-2</c:v>
                </c:pt>
                <c:pt idx="13">
                  <c:v>5.1723999999999999E-2</c:v>
                </c:pt>
                <c:pt idx="14">
                  <c:v>0.103448</c:v>
                </c:pt>
                <c:pt idx="15">
                  <c:v>0.18965499999999999</c:v>
                </c:pt>
                <c:pt idx="16">
                  <c:v>0.12069000000000001</c:v>
                </c:pt>
                <c:pt idx="17">
                  <c:v>0.275862</c:v>
                </c:pt>
                <c:pt idx="18">
                  <c:v>0.224138</c:v>
                </c:pt>
                <c:pt idx="19">
                  <c:v>0.39655200000000002</c:v>
                </c:pt>
                <c:pt idx="20">
                  <c:v>0.41379300000000002</c:v>
                </c:pt>
                <c:pt idx="21">
                  <c:v>0.48275899999999999</c:v>
                </c:pt>
                <c:pt idx="22">
                  <c:v>0.44503872807211903</c:v>
                </c:pt>
                <c:pt idx="23">
                  <c:v>0.36206899999999997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DB-46F2-9594-288D11957E6D}"/>
            </c:ext>
          </c:extLst>
        </c:ser>
        <c:ser>
          <c:idx val="10"/>
          <c:order val="10"/>
          <c:tx>
            <c:strRef>
              <c:f>prob_forecast_Donalsonville_202!$L$1</c:f>
              <c:strCache>
                <c:ptCount val="1"/>
                <c:pt idx="0">
                  <c:v>p100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prob_forecast_Donalsonville_202!$L$2:$L$25</c:f>
              <c:numCache>
                <c:formatCode>General</c:formatCode>
                <c:ptCount val="24"/>
                <c:pt idx="0">
                  <c:v>0.39655200000000002</c:v>
                </c:pt>
                <c:pt idx="1">
                  <c:v>0.34482800000000002</c:v>
                </c:pt>
                <c:pt idx="2">
                  <c:v>0.37930999999999998</c:v>
                </c:pt>
                <c:pt idx="3">
                  <c:v>0.39655200000000002</c:v>
                </c:pt>
                <c:pt idx="4">
                  <c:v>0.37930999999999998</c:v>
                </c:pt>
                <c:pt idx="5">
                  <c:v>0.39655200000000002</c:v>
                </c:pt>
                <c:pt idx="6">
                  <c:v>0.31034499999999998</c:v>
                </c:pt>
                <c:pt idx="7">
                  <c:v>0.43103399999999997</c:v>
                </c:pt>
                <c:pt idx="8">
                  <c:v>0.43103399999999997</c:v>
                </c:pt>
                <c:pt idx="9">
                  <c:v>0.32758599999999999</c:v>
                </c:pt>
                <c:pt idx="10">
                  <c:v>0.224138</c:v>
                </c:pt>
                <c:pt idx="11">
                  <c:v>0.155172</c:v>
                </c:pt>
                <c:pt idx="12">
                  <c:v>0.103448</c:v>
                </c:pt>
                <c:pt idx="13">
                  <c:v>0.103448</c:v>
                </c:pt>
                <c:pt idx="14">
                  <c:v>0.137931</c:v>
                </c:pt>
                <c:pt idx="15">
                  <c:v>0.24137900000000001</c:v>
                </c:pt>
                <c:pt idx="16">
                  <c:v>0.12069000000000001</c:v>
                </c:pt>
                <c:pt idx="17">
                  <c:v>0.39655200000000002</c:v>
                </c:pt>
                <c:pt idx="18">
                  <c:v>0.275862</c:v>
                </c:pt>
                <c:pt idx="19">
                  <c:v>0.43103399999999997</c:v>
                </c:pt>
                <c:pt idx="20">
                  <c:v>0.44827600000000001</c:v>
                </c:pt>
                <c:pt idx="21">
                  <c:v>0.53033267200988499</c:v>
                </c:pt>
                <c:pt idx="22">
                  <c:v>0.44827600000000001</c:v>
                </c:pt>
                <c:pt idx="23">
                  <c:v>0.43103399999999997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BDB-46F2-9594-288D11957E6D}"/>
            </c:ext>
          </c:extLst>
        </c:ser>
        <c:ser>
          <c:idx val="11"/>
          <c:order val="11"/>
          <c:tx>
            <c:strRef>
              <c:f>prob_forecast_Donalsonville_202!$M$1</c:f>
              <c:strCache>
                <c:ptCount val="1"/>
                <c:pt idx="0">
                  <c:v>Actuals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prob_forecast_Donalsonville_202!$M$2:$M$25</c:f>
              <c:numCache>
                <c:formatCode>General</c:formatCode>
                <c:ptCount val="24"/>
                <c:pt idx="0">
                  <c:v>0.29022399999999998</c:v>
                </c:pt>
                <c:pt idx="1">
                  <c:v>0.25862099999999999</c:v>
                </c:pt>
                <c:pt idx="2">
                  <c:v>0.23849999999999999</c:v>
                </c:pt>
                <c:pt idx="3">
                  <c:v>0.21263799999999999</c:v>
                </c:pt>
                <c:pt idx="4">
                  <c:v>0.204017</c:v>
                </c:pt>
                <c:pt idx="5">
                  <c:v>0.19253500000000001</c:v>
                </c:pt>
                <c:pt idx="6">
                  <c:v>0.18965499999999999</c:v>
                </c:pt>
                <c:pt idx="7">
                  <c:v>0.18391399999999999</c:v>
                </c:pt>
                <c:pt idx="8">
                  <c:v>0.160914</c:v>
                </c:pt>
                <c:pt idx="9">
                  <c:v>0.12931000000000001</c:v>
                </c:pt>
                <c:pt idx="10">
                  <c:v>3.1603399999999997E-2</c:v>
                </c:pt>
                <c:pt idx="11">
                  <c:v>-2.5862099999999999E-2</c:v>
                </c:pt>
                <c:pt idx="12">
                  <c:v>-2.87414E-2</c:v>
                </c:pt>
                <c:pt idx="13">
                  <c:v>-6.0344799999999997E-2</c:v>
                </c:pt>
                <c:pt idx="14">
                  <c:v>-7.18448E-2</c:v>
                </c:pt>
                <c:pt idx="15">
                  <c:v>-7.7586199999999994E-2</c:v>
                </c:pt>
                <c:pt idx="16">
                  <c:v>1.15E-2</c:v>
                </c:pt>
                <c:pt idx="17">
                  <c:v>7.18448E-2</c:v>
                </c:pt>
                <c:pt idx="18">
                  <c:v>0.227017</c:v>
                </c:pt>
                <c:pt idx="19">
                  <c:v>0.28160299999999999</c:v>
                </c:pt>
                <c:pt idx="20">
                  <c:v>0.29884500000000003</c:v>
                </c:pt>
                <c:pt idx="21">
                  <c:v>0.33620699999999998</c:v>
                </c:pt>
                <c:pt idx="22">
                  <c:v>0.339086</c:v>
                </c:pt>
                <c:pt idx="23">
                  <c:v>0.30460300000000001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BDB-46F2-9594-288D11957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81536"/>
        <c:axId val="216675296"/>
      </c:scatterChart>
      <c:valAx>
        <c:axId val="21668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75296"/>
        <c:crosses val="autoZero"/>
        <c:crossBetween val="midCat"/>
      </c:valAx>
      <c:valAx>
        <c:axId val="2166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8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MAPE = 76%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prob_forecast_Donalsonville_202!$N$1</c:f>
              <c:strCache>
                <c:ptCount val="1"/>
                <c:pt idx="0">
                  <c:v>MAPE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prob_forecast_Donalsonville_202!$A$2:$A$25</c:f>
              <c:strCache>
                <c:ptCount val="24"/>
                <c:pt idx="0">
                  <c:v>2023-06-11T05:00:00.000000Z</c:v>
                </c:pt>
                <c:pt idx="1">
                  <c:v>2023-06-11T06:00:00.000000Z</c:v>
                </c:pt>
                <c:pt idx="2">
                  <c:v>2023-06-11T07:00:00.000000Z</c:v>
                </c:pt>
                <c:pt idx="3">
                  <c:v>2023-06-11T08:00:00.000000Z</c:v>
                </c:pt>
                <c:pt idx="4">
                  <c:v>2023-06-11T09:00:00.000000Z</c:v>
                </c:pt>
                <c:pt idx="5">
                  <c:v>2023-06-11T10:00:00.000000Z</c:v>
                </c:pt>
                <c:pt idx="6">
                  <c:v>2023-06-11T11:00:00.000000Z</c:v>
                </c:pt>
                <c:pt idx="7">
                  <c:v>2023-06-11T12:00:00.000000Z</c:v>
                </c:pt>
                <c:pt idx="8">
                  <c:v>2023-06-11T13:00:00.000000Z</c:v>
                </c:pt>
                <c:pt idx="9">
                  <c:v>2023-06-11T14:00:00.000000Z</c:v>
                </c:pt>
                <c:pt idx="10">
                  <c:v>2023-06-11T15:00:00.000000Z</c:v>
                </c:pt>
                <c:pt idx="11">
                  <c:v>2023-06-11T16:00:00.000000Z</c:v>
                </c:pt>
                <c:pt idx="12">
                  <c:v>2023-06-11T17:00:00.000000Z</c:v>
                </c:pt>
                <c:pt idx="13">
                  <c:v>2023-06-11T18:00:00.000000Z</c:v>
                </c:pt>
                <c:pt idx="14">
                  <c:v>2023-06-11T19:00:00.000000Z</c:v>
                </c:pt>
                <c:pt idx="15">
                  <c:v>2023-06-11T20:00:00.000000Z</c:v>
                </c:pt>
                <c:pt idx="16">
                  <c:v>2023-06-11T21:00:00.000000Z</c:v>
                </c:pt>
                <c:pt idx="17">
                  <c:v>2023-06-11T22:00:00.000000Z</c:v>
                </c:pt>
                <c:pt idx="18">
                  <c:v>2023-06-11T23:00:00.000000Z</c:v>
                </c:pt>
                <c:pt idx="19">
                  <c:v>2023-06-12T00:00:00.000000Z</c:v>
                </c:pt>
                <c:pt idx="20">
                  <c:v>2023-06-12T01:00:00.000000Z</c:v>
                </c:pt>
                <c:pt idx="21">
                  <c:v>2023-06-12T02:00:00.000000Z</c:v>
                </c:pt>
                <c:pt idx="22">
                  <c:v>2023-06-12T03:00:00.000000Z</c:v>
                </c:pt>
                <c:pt idx="23">
                  <c:v>2023-06-12T04:00:00.000000Z</c:v>
                </c:pt>
              </c:strCache>
            </c:strRef>
          </c:xVal>
          <c:yVal>
            <c:numRef>
              <c:f>prob_forecast_Donalsonville_202!$N$2:$N$25</c:f>
              <c:numCache>
                <c:formatCode>General</c:formatCode>
                <c:ptCount val="24"/>
                <c:pt idx="0">
                  <c:v>10.889175257731956</c:v>
                </c:pt>
                <c:pt idx="1">
                  <c:v>6.666898666388259</c:v>
                </c:pt>
                <c:pt idx="2">
                  <c:v>8.4364779874213838</c:v>
                </c:pt>
                <c:pt idx="3">
                  <c:v>21.62501528419191</c:v>
                </c:pt>
                <c:pt idx="4">
                  <c:v>18.313179784037608</c:v>
                </c:pt>
                <c:pt idx="5">
                  <c:v>25.368893967330614</c:v>
                </c:pt>
                <c:pt idx="6">
                  <c:v>9.0912446284042119</c:v>
                </c:pt>
                <c:pt idx="7">
                  <c:v>78.119120893461073</c:v>
                </c:pt>
                <c:pt idx="8">
                  <c:v>114.29334924245251</c:v>
                </c:pt>
                <c:pt idx="9">
                  <c:v>73.333848890263695</c:v>
                </c:pt>
                <c:pt idx="10">
                  <c:v>390.99780403374325</c:v>
                </c:pt>
                <c:pt idx="11">
                  <c:v>166.665120001856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188.88951901240171</c:v>
                </c:pt>
                <c:pt idx="16">
                  <c:v>199.85217391304349</c:v>
                </c:pt>
                <c:pt idx="17">
                  <c:v>139.98118165824113</c:v>
                </c:pt>
                <c:pt idx="18">
                  <c:v>46.836580520401554</c:v>
                </c:pt>
                <c:pt idx="19">
                  <c:v>10.206567401625689</c:v>
                </c:pt>
                <c:pt idx="20">
                  <c:v>9.6173601699877729</c:v>
                </c:pt>
                <c:pt idx="21">
                  <c:v>2.5641940828120742</c:v>
                </c:pt>
                <c:pt idx="22">
                  <c:v>3.3914700105577968</c:v>
                </c:pt>
                <c:pt idx="23">
                  <c:v>3.7754060202952728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A-42A0-9C7A-7F2643CBD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0320"/>
        <c:axId val="442547040"/>
      </c:scatterChart>
      <c:valAx>
        <c:axId val="44254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47040"/>
        <c:crosses val="autoZero"/>
        <c:crossBetween val="midCat"/>
      </c:valAx>
      <c:valAx>
        <c:axId val="4425470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4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25</xdr:row>
      <xdr:rowOff>23812</xdr:rowOff>
    </xdr:from>
    <xdr:to>
      <xdr:col>6</xdr:col>
      <xdr:colOff>428625</xdr:colOff>
      <xdr:row>39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FBDC6-666B-AF66-848F-087609884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481012</xdr:colOff>
      <xdr:row>25</xdr:row>
      <xdr:rowOff>100012</xdr:rowOff>
    </xdr:from>
    <xdr:to>
      <xdr:col>14</xdr:col>
      <xdr:colOff>176212</xdr:colOff>
      <xdr:row>39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FFC577-68D2-1A42-BA23-D16825B10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topLeftCell="A25" workbookViewId="0">
      <selection activeCell="M43" sqref="M43"/>
    </sheetView>
  </sheetViews>
  <sheetFormatPr defaultRowHeight="15" x14ac:dyDescent="0.25"/>
  <cols>
    <col min="1" max="1" width="2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37</v>
      </c>
    </row>
    <row r="2" spans="1:14" x14ac:dyDescent="0.25">
      <c r="A2" t="s">
        <v>12</v>
      </c>
      <c r="B2">
        <v>0.224138</v>
      </c>
      <c r="C2">
        <v>0.24137900000000001</v>
      </c>
      <c r="D2">
        <v>0.24137900000000001</v>
      </c>
      <c r="E2">
        <v>0.24137900000000001</v>
      </c>
      <c r="F2">
        <v>0.24137900000000001</v>
      </c>
      <c r="G2">
        <v>0.25862099999999999</v>
      </c>
      <c r="H2">
        <v>0.275862</v>
      </c>
      <c r="I2">
        <v>0.32758599999999999</v>
      </c>
      <c r="J2">
        <v>0.37930999999999998</v>
      </c>
      <c r="K2">
        <v>0.38491365000000199</v>
      </c>
      <c r="L2">
        <v>0.39655200000000002</v>
      </c>
      <c r="M2">
        <v>0.29022399999999998</v>
      </c>
      <c r="N2">
        <f>ABS(G2-M2)/ABS(M2)*100</f>
        <v>10.889175257731956</v>
      </c>
    </row>
    <row r="3" spans="1:14" x14ac:dyDescent="0.25">
      <c r="A3" t="s">
        <v>13</v>
      </c>
      <c r="B3">
        <v>0.18965499999999999</v>
      </c>
      <c r="C3">
        <v>0.206897</v>
      </c>
      <c r="D3">
        <v>0.206897</v>
      </c>
      <c r="E3">
        <v>0.21012968753865799</v>
      </c>
      <c r="F3">
        <v>0.224138</v>
      </c>
      <c r="G3">
        <v>0.24137900000000001</v>
      </c>
      <c r="H3">
        <v>0.24137900000000001</v>
      </c>
      <c r="I3">
        <v>0.25862099999999999</v>
      </c>
      <c r="J3">
        <v>0.275862</v>
      </c>
      <c r="K3">
        <v>0.31034499999999998</v>
      </c>
      <c r="L3">
        <v>0.34482800000000002</v>
      </c>
      <c r="M3">
        <v>0.25862099999999999</v>
      </c>
      <c r="N3">
        <f t="shared" ref="N3:N25" si="0">ABS(G3-M3)/ABS(M3)*100</f>
        <v>6.666898666388259</v>
      </c>
    </row>
    <row r="4" spans="1:14" x14ac:dyDescent="0.25">
      <c r="A4" t="s">
        <v>14</v>
      </c>
      <c r="B4">
        <v>0.18965499999999999</v>
      </c>
      <c r="C4">
        <v>0.18965499999999999</v>
      </c>
      <c r="D4">
        <v>0.206897</v>
      </c>
      <c r="E4">
        <v>0.224138</v>
      </c>
      <c r="F4">
        <v>0.24137900000000001</v>
      </c>
      <c r="G4">
        <v>0.25862099999999999</v>
      </c>
      <c r="H4">
        <v>0.275862</v>
      </c>
      <c r="I4">
        <v>0.293103</v>
      </c>
      <c r="J4">
        <v>0.31034499999999998</v>
      </c>
      <c r="K4">
        <v>0.34482800000000002</v>
      </c>
      <c r="L4">
        <v>0.37930999999999998</v>
      </c>
      <c r="M4">
        <v>0.23849999999999999</v>
      </c>
      <c r="N4">
        <f t="shared" si="0"/>
        <v>8.4364779874213838</v>
      </c>
    </row>
    <row r="5" spans="1:14" x14ac:dyDescent="0.25">
      <c r="A5" t="s">
        <v>15</v>
      </c>
      <c r="B5">
        <v>0.17241400000000001</v>
      </c>
      <c r="C5">
        <v>0.18965499999999999</v>
      </c>
      <c r="D5">
        <v>0.18965499999999999</v>
      </c>
      <c r="E5">
        <v>0.206897</v>
      </c>
      <c r="F5">
        <v>0.224138</v>
      </c>
      <c r="G5">
        <v>0.25862099999999999</v>
      </c>
      <c r="H5">
        <v>0.293103</v>
      </c>
      <c r="I5">
        <v>0.293103</v>
      </c>
      <c r="J5">
        <v>0.293103</v>
      </c>
      <c r="K5">
        <v>0.34482800000000002</v>
      </c>
      <c r="L5">
        <v>0.39655200000000002</v>
      </c>
      <c r="M5">
        <v>0.21263799999999999</v>
      </c>
      <c r="N5">
        <f t="shared" si="0"/>
        <v>21.62501528419191</v>
      </c>
    </row>
    <row r="6" spans="1:14" x14ac:dyDescent="0.25">
      <c r="A6" t="s">
        <v>16</v>
      </c>
      <c r="B6">
        <v>0.137931</v>
      </c>
      <c r="C6">
        <v>0.155172</v>
      </c>
      <c r="D6">
        <v>0.17241400000000001</v>
      </c>
      <c r="E6">
        <v>0.18965499999999999</v>
      </c>
      <c r="F6">
        <v>0.206897</v>
      </c>
      <c r="G6">
        <v>0.24137900000000001</v>
      </c>
      <c r="H6">
        <v>0.25862099999999999</v>
      </c>
      <c r="I6">
        <v>0.275862</v>
      </c>
      <c r="J6">
        <v>0.275862</v>
      </c>
      <c r="K6">
        <v>0.31034499999999998</v>
      </c>
      <c r="L6">
        <v>0.37930999999999998</v>
      </c>
      <c r="M6">
        <v>0.204017</v>
      </c>
      <c r="N6">
        <f t="shared" si="0"/>
        <v>18.313179784037608</v>
      </c>
    </row>
    <row r="7" spans="1:14" x14ac:dyDescent="0.25">
      <c r="A7" t="s">
        <v>17</v>
      </c>
      <c r="B7">
        <v>0.17241400000000001</v>
      </c>
      <c r="C7">
        <v>0.18965499999999999</v>
      </c>
      <c r="D7">
        <v>0.206897</v>
      </c>
      <c r="E7">
        <v>0.206897</v>
      </c>
      <c r="F7">
        <v>0.224138</v>
      </c>
      <c r="G7">
        <v>0.24137900000000001</v>
      </c>
      <c r="H7">
        <v>0.25862099999999999</v>
      </c>
      <c r="I7">
        <v>0.275862</v>
      </c>
      <c r="J7">
        <v>0.275862</v>
      </c>
      <c r="K7">
        <v>0.32758599999999999</v>
      </c>
      <c r="L7">
        <v>0.39655200000000002</v>
      </c>
      <c r="M7">
        <v>0.19253500000000001</v>
      </c>
      <c r="N7">
        <f t="shared" si="0"/>
        <v>25.368893967330614</v>
      </c>
    </row>
    <row r="8" spans="1:14" x14ac:dyDescent="0.25">
      <c r="A8" t="s">
        <v>18</v>
      </c>
      <c r="B8">
        <v>0.17241400000000001</v>
      </c>
      <c r="C8">
        <v>0.17241400000000001</v>
      </c>
      <c r="D8">
        <v>0.17241400000000001</v>
      </c>
      <c r="E8">
        <v>0.18965499999999999</v>
      </c>
      <c r="F8">
        <v>0.18965499999999999</v>
      </c>
      <c r="G8">
        <v>0.206897</v>
      </c>
      <c r="H8">
        <v>0.206897</v>
      </c>
      <c r="I8">
        <v>0.24137900000000001</v>
      </c>
      <c r="J8">
        <v>0.25862099999999999</v>
      </c>
      <c r="K8">
        <v>0.275862</v>
      </c>
      <c r="L8">
        <v>0.31034499999999998</v>
      </c>
      <c r="M8">
        <v>0.18965499999999999</v>
      </c>
      <c r="N8">
        <f t="shared" si="0"/>
        <v>9.0912446284042119</v>
      </c>
    </row>
    <row r="9" spans="1:14" x14ac:dyDescent="0.25">
      <c r="A9" t="s">
        <v>19</v>
      </c>
      <c r="B9">
        <v>0.24137900000000001</v>
      </c>
      <c r="C9">
        <v>0.25862099999999999</v>
      </c>
      <c r="D9">
        <v>0.275862</v>
      </c>
      <c r="E9">
        <v>0.31034499999999998</v>
      </c>
      <c r="F9">
        <v>0.31118089285313999</v>
      </c>
      <c r="G9">
        <v>0.32758599999999999</v>
      </c>
      <c r="H9">
        <v>0.32758599999999999</v>
      </c>
      <c r="I9">
        <v>0.34482800000000002</v>
      </c>
      <c r="J9">
        <v>0.36206899999999997</v>
      </c>
      <c r="K9">
        <v>0.39655200000000002</v>
      </c>
      <c r="L9">
        <v>0.43103399999999997</v>
      </c>
      <c r="M9">
        <v>0.18391399999999999</v>
      </c>
      <c r="N9">
        <f t="shared" si="0"/>
        <v>78.119120893461073</v>
      </c>
    </row>
    <row r="10" spans="1:14" x14ac:dyDescent="0.25">
      <c r="A10" t="s">
        <v>20</v>
      </c>
      <c r="B10">
        <v>0.24137900000000001</v>
      </c>
      <c r="C10">
        <v>0.275862</v>
      </c>
      <c r="D10">
        <v>0.275862</v>
      </c>
      <c r="E10">
        <v>0.275862</v>
      </c>
      <c r="F10">
        <v>0.293103</v>
      </c>
      <c r="G10">
        <v>0.34482800000000002</v>
      </c>
      <c r="H10">
        <v>0.37930999999999998</v>
      </c>
      <c r="I10">
        <v>0.37930999999999998</v>
      </c>
      <c r="J10">
        <v>0.39655200000000002</v>
      </c>
      <c r="K10">
        <v>0.41379300000000002</v>
      </c>
      <c r="L10">
        <v>0.43103399999999997</v>
      </c>
      <c r="M10">
        <v>0.160914</v>
      </c>
      <c r="N10">
        <f t="shared" si="0"/>
        <v>114.29334924245251</v>
      </c>
    </row>
    <row r="11" spans="1:14" x14ac:dyDescent="0.25">
      <c r="A11" t="s">
        <v>21</v>
      </c>
      <c r="B11">
        <v>0.206897</v>
      </c>
      <c r="C11">
        <v>0.206897</v>
      </c>
      <c r="D11">
        <v>0.224138</v>
      </c>
      <c r="E11">
        <v>0.224138</v>
      </c>
      <c r="F11">
        <v>0.224138</v>
      </c>
      <c r="G11">
        <v>0.224138</v>
      </c>
      <c r="H11">
        <v>0.24137900000000001</v>
      </c>
      <c r="I11">
        <v>0.275862</v>
      </c>
      <c r="J11">
        <v>0.293103</v>
      </c>
      <c r="K11">
        <v>0.31034499999999998</v>
      </c>
      <c r="L11">
        <v>0.32758599999999999</v>
      </c>
      <c r="M11">
        <v>0.12931000000000001</v>
      </c>
      <c r="N11">
        <f t="shared" si="0"/>
        <v>73.333848890263695</v>
      </c>
    </row>
    <row r="12" spans="1:14" x14ac:dyDescent="0.25">
      <c r="A12" t="s">
        <v>22</v>
      </c>
      <c r="B12">
        <v>0.103448</v>
      </c>
      <c r="C12">
        <v>0.137931</v>
      </c>
      <c r="D12">
        <v>0.137931</v>
      </c>
      <c r="E12">
        <v>0.137931</v>
      </c>
      <c r="F12">
        <v>0.137931</v>
      </c>
      <c r="G12">
        <v>0.155172</v>
      </c>
      <c r="H12">
        <v>0.17241400000000001</v>
      </c>
      <c r="I12">
        <v>0.18965499999999999</v>
      </c>
      <c r="J12">
        <v>0.206897</v>
      </c>
      <c r="K12">
        <v>0.224138</v>
      </c>
      <c r="L12">
        <v>0.224138</v>
      </c>
      <c r="M12">
        <v>3.1603399999999997E-2</v>
      </c>
      <c r="N12">
        <f t="shared" si="0"/>
        <v>390.99780403374325</v>
      </c>
    </row>
    <row r="13" spans="1:14" x14ac:dyDescent="0.25">
      <c r="A13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1.7240999999999999E-2</v>
      </c>
      <c r="H13">
        <v>8.6207000000000006E-2</v>
      </c>
      <c r="I13">
        <v>0.12069000000000001</v>
      </c>
      <c r="J13">
        <v>0.137931</v>
      </c>
      <c r="K13">
        <v>0.155172</v>
      </c>
      <c r="L13">
        <v>0.155172</v>
      </c>
      <c r="M13">
        <v>-2.5862099999999999E-2</v>
      </c>
      <c r="N13">
        <f t="shared" si="0"/>
        <v>166.665120001856</v>
      </c>
    </row>
    <row r="14" spans="1:14" x14ac:dyDescent="0.25">
      <c r="A14" t="s">
        <v>24</v>
      </c>
      <c r="B14">
        <v>-5.1723999999999999E-2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5.1723999999999999E-2</v>
      </c>
      <c r="L14">
        <v>0.103448</v>
      </c>
      <c r="M14">
        <v>-2.87414E-2</v>
      </c>
      <c r="N14">
        <f t="shared" si="0"/>
        <v>100</v>
      </c>
    </row>
    <row r="15" spans="1:14" x14ac:dyDescent="0.25">
      <c r="A15" t="s">
        <v>25</v>
      </c>
      <c r="B15">
        <v>-8.6207000000000006E-2</v>
      </c>
      <c r="C15">
        <v>-5.1723999999999999E-2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5.1723999999999999E-2</v>
      </c>
      <c r="L15">
        <v>0.103448</v>
      </c>
      <c r="M15">
        <v>-6.0344799999999997E-2</v>
      </c>
      <c r="N15">
        <f t="shared" si="0"/>
        <v>100</v>
      </c>
    </row>
    <row r="16" spans="1:14" x14ac:dyDescent="0.25">
      <c r="A16" t="s">
        <v>26</v>
      </c>
      <c r="B16">
        <v>-8.6207000000000006E-2</v>
      </c>
      <c r="C16">
        <v>-3.4483E-2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3.4483E-2</v>
      </c>
      <c r="K16">
        <v>0.103448</v>
      </c>
      <c r="L16">
        <v>0.137931</v>
      </c>
      <c r="M16">
        <v>-7.18448E-2</v>
      </c>
      <c r="N16">
        <f t="shared" si="0"/>
        <v>100</v>
      </c>
    </row>
    <row r="17" spans="1:14" x14ac:dyDescent="0.25">
      <c r="A17" t="s">
        <v>27</v>
      </c>
      <c r="B17">
        <v>-1.7240999999999999E-2</v>
      </c>
      <c r="C17">
        <v>0</v>
      </c>
      <c r="D17">
        <v>3.4483E-2</v>
      </c>
      <c r="E17">
        <v>5.1723999999999999E-2</v>
      </c>
      <c r="F17">
        <v>6.8966E-2</v>
      </c>
      <c r="G17">
        <v>6.8966E-2</v>
      </c>
      <c r="H17">
        <v>8.6207000000000006E-2</v>
      </c>
      <c r="I17">
        <v>0.117672649999999</v>
      </c>
      <c r="J17">
        <v>0.137931</v>
      </c>
      <c r="K17">
        <v>0.18965499999999999</v>
      </c>
      <c r="L17">
        <v>0.24137900000000001</v>
      </c>
      <c r="M17">
        <v>-7.7586199999999994E-2</v>
      </c>
      <c r="N17">
        <f t="shared" si="0"/>
        <v>188.88951901240171</v>
      </c>
    </row>
    <row r="18" spans="1:14" x14ac:dyDescent="0.25">
      <c r="A18" t="s">
        <v>28</v>
      </c>
      <c r="B18">
        <v>0</v>
      </c>
      <c r="C18">
        <v>0</v>
      </c>
      <c r="D18">
        <v>0</v>
      </c>
      <c r="E18">
        <v>0</v>
      </c>
      <c r="F18">
        <v>1.7240999999999999E-2</v>
      </c>
      <c r="G18">
        <v>3.4483E-2</v>
      </c>
      <c r="H18">
        <v>5.1723999999999999E-2</v>
      </c>
      <c r="I18">
        <v>0.103448</v>
      </c>
      <c r="J18">
        <v>0.12069000000000001</v>
      </c>
      <c r="K18">
        <v>0.12069000000000001</v>
      </c>
      <c r="L18">
        <v>0.12069000000000001</v>
      </c>
      <c r="M18">
        <v>1.15E-2</v>
      </c>
      <c r="N18">
        <f t="shared" si="0"/>
        <v>199.85217391304349</v>
      </c>
    </row>
    <row r="19" spans="1:14" x14ac:dyDescent="0.25">
      <c r="A19" t="s">
        <v>29</v>
      </c>
      <c r="B19">
        <v>0</v>
      </c>
      <c r="C19">
        <v>8.6207000000000006E-2</v>
      </c>
      <c r="D19">
        <v>0.10172389999999901</v>
      </c>
      <c r="E19">
        <v>0.103448</v>
      </c>
      <c r="F19">
        <v>0.137931</v>
      </c>
      <c r="G19">
        <v>0.17241400000000001</v>
      </c>
      <c r="H19">
        <v>0.18965499999999999</v>
      </c>
      <c r="I19">
        <v>0.18965499999999999</v>
      </c>
      <c r="J19">
        <v>0.206897</v>
      </c>
      <c r="K19">
        <v>0.275862</v>
      </c>
      <c r="L19">
        <v>0.39655200000000002</v>
      </c>
      <c r="M19">
        <v>7.18448E-2</v>
      </c>
      <c r="N19">
        <f t="shared" si="0"/>
        <v>139.98118165824113</v>
      </c>
    </row>
    <row r="20" spans="1:14" x14ac:dyDescent="0.25">
      <c r="A20" t="s">
        <v>30</v>
      </c>
      <c r="B20">
        <v>0</v>
      </c>
      <c r="C20">
        <v>1.1637675000000401E-2</v>
      </c>
      <c r="D20">
        <v>6.8966E-2</v>
      </c>
      <c r="E20">
        <v>0.12069000000000001</v>
      </c>
      <c r="F20">
        <v>0.12069000000000001</v>
      </c>
      <c r="G20">
        <v>0.12069000000000001</v>
      </c>
      <c r="H20">
        <v>0.137931</v>
      </c>
      <c r="I20">
        <v>0.17241400000000001</v>
      </c>
      <c r="J20">
        <v>0.18965499999999999</v>
      </c>
      <c r="K20">
        <v>0.224138</v>
      </c>
      <c r="L20">
        <v>0.275862</v>
      </c>
      <c r="M20">
        <v>0.227017</v>
      </c>
      <c r="N20">
        <f t="shared" si="0"/>
        <v>46.836580520401554</v>
      </c>
    </row>
    <row r="21" spans="1:14" x14ac:dyDescent="0.25">
      <c r="A21" t="s">
        <v>31</v>
      </c>
      <c r="B21">
        <v>0.18965499999999999</v>
      </c>
      <c r="C21">
        <v>0.224138</v>
      </c>
      <c r="D21">
        <v>0.224138</v>
      </c>
      <c r="E21">
        <v>0.24137900000000001</v>
      </c>
      <c r="F21">
        <v>0.25862099999999999</v>
      </c>
      <c r="G21">
        <v>0.31034499999999998</v>
      </c>
      <c r="H21">
        <v>0.36206899999999997</v>
      </c>
      <c r="I21">
        <v>0.36206899999999997</v>
      </c>
      <c r="J21">
        <v>0.37930999999999998</v>
      </c>
      <c r="K21">
        <v>0.39655200000000002</v>
      </c>
      <c r="L21">
        <v>0.43103399999999997</v>
      </c>
      <c r="M21">
        <v>0.28160299999999999</v>
      </c>
      <c r="N21">
        <f t="shared" si="0"/>
        <v>10.206567401625689</v>
      </c>
    </row>
    <row r="22" spans="1:14" x14ac:dyDescent="0.25">
      <c r="A22" t="s">
        <v>32</v>
      </c>
      <c r="B22">
        <v>0.224138</v>
      </c>
      <c r="C22">
        <v>0.224138</v>
      </c>
      <c r="D22">
        <v>0.25862099999999999</v>
      </c>
      <c r="E22">
        <v>0.293103</v>
      </c>
      <c r="F22">
        <v>0.31034499999999998</v>
      </c>
      <c r="G22">
        <v>0.32758599999999999</v>
      </c>
      <c r="H22">
        <v>0.34482800000000002</v>
      </c>
      <c r="I22">
        <v>0.36206899999999997</v>
      </c>
      <c r="J22">
        <v>0.37930999999999998</v>
      </c>
      <c r="K22">
        <v>0.41379300000000002</v>
      </c>
      <c r="L22">
        <v>0.44827600000000001</v>
      </c>
      <c r="M22">
        <v>0.29884500000000003</v>
      </c>
      <c r="N22">
        <f t="shared" si="0"/>
        <v>9.6173601699877729</v>
      </c>
    </row>
    <row r="23" spans="1:14" x14ac:dyDescent="0.25">
      <c r="A23" t="s">
        <v>33</v>
      </c>
      <c r="B23">
        <v>0.24137900000000001</v>
      </c>
      <c r="C23">
        <v>0.25862099999999999</v>
      </c>
      <c r="D23">
        <v>0.275862</v>
      </c>
      <c r="E23">
        <v>0.31034499999999998</v>
      </c>
      <c r="F23">
        <v>0.32758599999999999</v>
      </c>
      <c r="G23">
        <v>0.32758599999999999</v>
      </c>
      <c r="H23">
        <v>0.34482800000000002</v>
      </c>
      <c r="I23">
        <v>0.39655200000000002</v>
      </c>
      <c r="J23">
        <v>0.45286540991295798</v>
      </c>
      <c r="K23">
        <v>0.48275899999999999</v>
      </c>
      <c r="L23">
        <v>0.53033267200988499</v>
      </c>
      <c r="M23">
        <v>0.33620699999999998</v>
      </c>
      <c r="N23">
        <f t="shared" si="0"/>
        <v>2.5641940828120742</v>
      </c>
    </row>
    <row r="24" spans="1:14" x14ac:dyDescent="0.25">
      <c r="A24" t="s">
        <v>34</v>
      </c>
      <c r="B24">
        <v>0.24137900000000001</v>
      </c>
      <c r="C24">
        <v>0.25862099999999999</v>
      </c>
      <c r="D24">
        <v>0.275862</v>
      </c>
      <c r="E24">
        <v>0.29836881562221401</v>
      </c>
      <c r="F24">
        <v>0.31034499999999998</v>
      </c>
      <c r="G24">
        <v>0.32758599999999999</v>
      </c>
      <c r="H24">
        <v>0.34482800000000002</v>
      </c>
      <c r="I24">
        <v>0.37930999999999998</v>
      </c>
      <c r="J24">
        <v>0.43103399999999997</v>
      </c>
      <c r="K24">
        <v>0.44503872807211903</v>
      </c>
      <c r="L24">
        <v>0.44827600000000001</v>
      </c>
      <c r="M24">
        <v>0.339086</v>
      </c>
      <c r="N24">
        <f t="shared" si="0"/>
        <v>3.3914700105577968</v>
      </c>
    </row>
    <row r="25" spans="1:14" x14ac:dyDescent="0.25">
      <c r="A25" t="s">
        <v>35</v>
      </c>
      <c r="B25">
        <v>0.224138</v>
      </c>
      <c r="C25">
        <v>0.224138</v>
      </c>
      <c r="D25">
        <v>0.24137900000000001</v>
      </c>
      <c r="E25">
        <v>0.275862</v>
      </c>
      <c r="F25">
        <v>0.275862</v>
      </c>
      <c r="G25">
        <v>0.293103</v>
      </c>
      <c r="H25">
        <v>0.293103</v>
      </c>
      <c r="I25">
        <v>0.293103</v>
      </c>
      <c r="J25">
        <v>0.293103</v>
      </c>
      <c r="K25">
        <v>0.36206899999999997</v>
      </c>
      <c r="L25">
        <v>0.43103399999999997</v>
      </c>
      <c r="M25">
        <v>0.30460300000000001</v>
      </c>
      <c r="N25">
        <f t="shared" si="0"/>
        <v>3.7754060202952728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prob_forecast_Donalsonville_202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MacDonald</dc:creator>
  <cp:lastModifiedBy>Ross MacDonald</cp:lastModifiedBy>
  <dcterms:created xsi:type="dcterms:W3CDTF">2023-06-15T13:15:46Z</dcterms:created>
  <dcterms:modified xsi:type="dcterms:W3CDTF">2023-06-15T13:16:07Z</dcterms:modified>
</cp:coreProperties>
</file>